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59EF28-A759-4837-AEB3-2AE6E114A71A}" xr6:coauthVersionLast="47" xr6:coauthVersionMax="47" xr10:uidLastSave="{00000000-0000-0000-0000-000000000000}"/>
  <bookViews>
    <workbookView xWindow="-120" yWindow="-120" windowWidth="29040" windowHeight="15720" xr2:uid="{740F7104-78FF-406D-9671-E1787925B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8" i="1"/>
  <c r="O10" i="1"/>
  <c r="O14" i="1"/>
  <c r="O16" i="1"/>
  <c r="O19" i="1"/>
</calcChain>
</file>

<file path=xl/sharedStrings.xml><?xml version="1.0" encoding="utf-8"?>
<sst xmlns="http://schemas.openxmlformats.org/spreadsheetml/2006/main" count="2177" uniqueCount="1300">
  <si>
    <t>S/L</t>
  </si>
  <si>
    <t>IAB ID</t>
  </si>
  <si>
    <t>Company Name</t>
  </si>
  <si>
    <t>Rating</t>
  </si>
  <si>
    <t>Rating By Users</t>
  </si>
  <si>
    <t>Rating Status</t>
  </si>
  <si>
    <t>Est Year</t>
  </si>
  <si>
    <t>5 Years Period</t>
  </si>
  <si>
    <t>Address</t>
  </si>
  <si>
    <t>Division</t>
  </si>
  <si>
    <t>Thana</t>
  </si>
  <si>
    <t>Post Code</t>
  </si>
  <si>
    <t>Google Map Number</t>
  </si>
  <si>
    <t>Email ID</t>
  </si>
  <si>
    <t>Contact</t>
  </si>
  <si>
    <t>Website</t>
  </si>
  <si>
    <t>Website Status</t>
  </si>
  <si>
    <t>NAME OF PROPRIETOR/ PARTNER/ DIRECTOR</t>
  </si>
  <si>
    <t>LAB ID</t>
  </si>
  <si>
    <t>DESIGNATION</t>
  </si>
  <si>
    <t>IAB Member Architect</t>
  </si>
  <si>
    <t>Architectural Graduate</t>
  </si>
  <si>
    <t>Total</t>
  </si>
  <si>
    <t>IAB-RP-A01</t>
  </si>
  <si>
    <t>ABASHAN UPODESHTA LIMITED</t>
  </si>
  <si>
    <t>Unavailable</t>
  </si>
  <si>
    <t>1995-1999</t>
  </si>
  <si>
    <t>Bengal Centre, Plot 2, Civil Aviation, New Airport Road, Khilkhet, Dhaka-1229</t>
  </si>
  <si>
    <t>Dhaka</t>
  </si>
  <si>
    <t>Khilkhet</t>
  </si>
  <si>
    <t>Dhaka-1229</t>
  </si>
  <si>
    <t>23.753122777586352, 90.37455683138921</t>
  </si>
  <si>
    <t>mail@abashan.com</t>
  </si>
  <si>
    <t>88-02-8901185, 8901180</t>
  </si>
  <si>
    <t xml:space="preserve">www.abashan.com </t>
  </si>
  <si>
    <t>Available</t>
  </si>
  <si>
    <t>Ar. Luva Nahid Chowdhury</t>
  </si>
  <si>
    <t>C-018</t>
  </si>
  <si>
    <t>Managing Director</t>
  </si>
  <si>
    <t>IAB-RP-A02</t>
  </si>
  <si>
    <t>ADS ARCHITECTS DESIGN STUDIO</t>
  </si>
  <si>
    <t>2005-2009</t>
  </si>
  <si>
    <t>House#29-31, Road#18, Sector#7, Uttara , Dhaka 1230</t>
  </si>
  <si>
    <t>Uttara</t>
  </si>
  <si>
    <t>Dhaka 1230</t>
  </si>
  <si>
    <t>23.8679091872166, 90.39434123998629</t>
  </si>
  <si>
    <t>ads.architectstudio@gmail.com</t>
  </si>
  <si>
    <t>Ar. Md. Sayedul Hasan</t>
  </si>
  <si>
    <t>H-103</t>
  </si>
  <si>
    <t>Principal Architect</t>
  </si>
  <si>
    <t>IAB-RP-A03</t>
  </si>
  <si>
    <t>AKRITY</t>
  </si>
  <si>
    <t>House - 10 Ga, Road-02, Dhaka 1207</t>
  </si>
  <si>
    <t>Mirpur</t>
  </si>
  <si>
    <t>Dhaka-1207</t>
  </si>
  <si>
    <t>23.81367966606535, 90.37106194893198</t>
  </si>
  <si>
    <t>akriti.si@gmail.com,</t>
  </si>
  <si>
    <t>www.akritybd.com</t>
  </si>
  <si>
    <t>Ar. Monir Hossain Khan</t>
  </si>
  <si>
    <t>K-104</t>
  </si>
  <si>
    <t>Architect</t>
  </si>
  <si>
    <t>IAB-RP-A04</t>
  </si>
  <si>
    <t>ANWAR &amp; ASSOCIATES</t>
  </si>
  <si>
    <t>House #221(GF), Road -15, New DOHS, Mohakhali, Dhaka 1206.</t>
  </si>
  <si>
    <t>Gulshan</t>
  </si>
  <si>
    <t>Dhaka 1206</t>
  </si>
  <si>
    <t>23.8528852400165, 90.41595806771552</t>
  </si>
  <si>
    <t>ahaq06@yahoo.com</t>
  </si>
  <si>
    <t>Ar. Anwarul Haq Chow</t>
  </si>
  <si>
    <t>C-021</t>
  </si>
  <si>
    <t>IAB-RP-A05</t>
  </si>
  <si>
    <t>ARC ARCHITECTURAL CONSULTANTS</t>
  </si>
  <si>
    <t>1980-1984</t>
  </si>
  <si>
    <t>246 New Elephant Rd, Dhaka 1205</t>
  </si>
  <si>
    <t>New Market</t>
  </si>
  <si>
    <t>Dhaka-1205</t>
  </si>
  <si>
    <t>23.740821314594236, 90.39026743131025</t>
  </si>
  <si>
    <t>arc.architect@gmail.com, nahaskhalil@yahoo.com</t>
  </si>
  <si>
    <t>Ar. Nahas Ahmed khalil</t>
  </si>
  <si>
    <t>K-022</t>
  </si>
  <si>
    <t>IAB-RP-A06</t>
  </si>
  <si>
    <t>ARCHDOERS</t>
  </si>
  <si>
    <t>2010-2014</t>
  </si>
  <si>
    <t>H# 252, R # 10A, West, Dhaka</t>
  </si>
  <si>
    <t>Dhaka-1206</t>
  </si>
  <si>
    <t>23.811184722767727, 90.41247769913623</t>
  </si>
  <si>
    <t>archdoers@gmail.com</t>
  </si>
  <si>
    <t>01816506988, 01816506989</t>
  </si>
  <si>
    <t>Ar. Quazi Fahima Naz, Ar. Subrata CH.Sikder</t>
  </si>
  <si>
    <t>N-024, S-112</t>
  </si>
  <si>
    <t>Partner Architect, Partner Architect</t>
  </si>
  <si>
    <t>IAB-RP-A07</t>
  </si>
  <si>
    <t>ARCHEGROUND LTD.</t>
  </si>
  <si>
    <t>“NoorMahal”, 44/1, Lake-Circus, Kalabagan, Dhaka-1205</t>
  </si>
  <si>
    <t>Kalabagan</t>
  </si>
  <si>
    <t>23.75118314203204, 90.38150466771336</t>
  </si>
  <si>
    <t>studio@archeground.com, arche_ground@yahoo.com</t>
  </si>
  <si>
    <t>www.archeground.com</t>
  </si>
  <si>
    <t>Ar. Nabi Newaz Khan, Ar. Lutfullahil Majid, Ar. Md. Jubair Hasan</t>
  </si>
  <si>
    <t>K-106, M-076, H-163</t>
  </si>
  <si>
    <t>Chairman, Managing Director, Director</t>
  </si>
  <si>
    <t>IAB-RP-A08</t>
  </si>
  <si>
    <t>ARCHFIELD</t>
  </si>
  <si>
    <t>32/D, Road-10, Banani</t>
  </si>
  <si>
    <t>Banani</t>
  </si>
  <si>
    <t>Dhaka-1213</t>
  </si>
  <si>
    <t>23.792270802467193, 90.40624052538524</t>
  </si>
  <si>
    <t>archfield2010@gmail.com</t>
  </si>
  <si>
    <t>01713338002, 01819117710</t>
  </si>
  <si>
    <t>Ar. Syeda Nitee Mahbub, Ar. Wares-Ul-Ambia</t>
  </si>
  <si>
    <t>M-090, A-145</t>
  </si>
  <si>
    <t>Partner, Partner</t>
  </si>
  <si>
    <t>IAB-RP-A09</t>
  </si>
  <si>
    <t>ARCHITECT HASAN &amp; ASSOCIATES LTD.</t>
  </si>
  <si>
    <t>House 31, Road 06, Block C, Banani, Dhaka, 1213</t>
  </si>
  <si>
    <t>23.795083642901936, 90.4027637150389</t>
  </si>
  <si>
    <t>cmfoundation@gmail.com</t>
  </si>
  <si>
    <t>Ar. Md. Hasan Shams Uddin</t>
  </si>
  <si>
    <t>S-014</t>
  </si>
  <si>
    <t>IAB-RP-A10</t>
  </si>
  <si>
    <t>ARCHITECTES CONTEMPORAIN</t>
  </si>
  <si>
    <t>House-2/8, Block-E, Lalmatia, Dhaka</t>
  </si>
  <si>
    <t>Mohammadpur</t>
  </si>
  <si>
    <t>23.755202595355506, 90.36624769654898</t>
  </si>
  <si>
    <t>sazal953@gmail.com</t>
  </si>
  <si>
    <t>044-78004350, 044-78004353</t>
  </si>
  <si>
    <t>Ar. S.M. Helaluddin Ahmed</t>
  </si>
  <si>
    <t>A-101</t>
  </si>
  <si>
    <t>Proprietor</t>
  </si>
  <si>
    <t>IAB-RP-A11</t>
  </si>
  <si>
    <t>ARCHIWORKS CONSULTANTS</t>
  </si>
  <si>
    <t>House-48, Road-02, Block-B, Niketan, Gulshan 01, Dhaka-1212</t>
  </si>
  <si>
    <t>Dhaka-1212</t>
  </si>
  <si>
    <t>23.774595927839055, 90.41253378305598</t>
  </si>
  <si>
    <t>archiworks.bd@hotmail.com</t>
  </si>
  <si>
    <t>www.archiworks.bd.wix.com/Home</t>
  </si>
  <si>
    <t>Ar. Mohammad Arefeen Ibrahim</t>
  </si>
  <si>
    <t>I-047</t>
  </si>
  <si>
    <t>IAB-RP-A12</t>
  </si>
  <si>
    <t>ARCHSEL</t>
  </si>
  <si>
    <t>H477/R32</t>
  </si>
  <si>
    <t>Tejgaon</t>
  </si>
  <si>
    <t>23.77897797571582, 90.39513803887841</t>
  </si>
  <si>
    <t>mail@archsel.com</t>
  </si>
  <si>
    <t>+88-02-8124698, 8116617</t>
  </si>
  <si>
    <t>www.archsel.com</t>
  </si>
  <si>
    <t>Ar. Imtiaz Farid Chowdhury</t>
  </si>
  <si>
    <t>C-036</t>
  </si>
  <si>
    <t>Chief Architect</t>
  </si>
  <si>
    <t>IAB-RP-A13</t>
  </si>
  <si>
    <t>ARESCON CONSULTANT</t>
  </si>
  <si>
    <t>2000-2004</t>
  </si>
  <si>
    <t>137-Jahanara Garden, 5th Floor, E-4, Green Road, Dhaka-1205</t>
  </si>
  <si>
    <t>23.75562319003129, 90.38792031298632</t>
  </si>
  <si>
    <t>arescon@gmail.com</t>
  </si>
  <si>
    <t>Ar. Md. Helal Uddin</t>
  </si>
  <si>
    <t>U-006</t>
  </si>
  <si>
    <t>CEO/Proprietor</t>
  </si>
  <si>
    <t>IAB-RP-A14</t>
  </si>
  <si>
    <t>ARTISAN ARCHITECTS ENGINEERS &amp; DEVELOPMENTS LTD.</t>
  </si>
  <si>
    <t>56/A, DOHS Road, Old DOHS, Banani, Dhaka-1206</t>
  </si>
  <si>
    <t>23.797889219335573, 90.37330641548759</t>
  </si>
  <si>
    <t>info@artisanbd.com</t>
  </si>
  <si>
    <t>+88-02-8813992, 9889360</t>
  </si>
  <si>
    <t>www.artisanbd.com</t>
  </si>
  <si>
    <t>Ar. Sayeed Parvez Reza Latif</t>
  </si>
  <si>
    <t>L-007</t>
  </si>
  <si>
    <t>IAB-RP-A15</t>
  </si>
  <si>
    <t>ARTYSPACE DESIGN STUDIO</t>
  </si>
  <si>
    <t>Azad Bhaban (7th Floor), 79/A, Jamal Khan Road, Chittagong, Bangladesh</t>
  </si>
  <si>
    <t>Chittagong</t>
  </si>
  <si>
    <t>Kotwali</t>
  </si>
  <si>
    <t>Chittagong-4000</t>
  </si>
  <si>
    <t>23.763288513469657, 90.36167625237154</t>
  </si>
  <si>
    <t>artyspace.designstudio@gmail.com</t>
  </si>
  <si>
    <t>Ar. Ananya Bikash Barua</t>
  </si>
  <si>
    <t>B-040</t>
  </si>
  <si>
    <t>IAB-RP-A16</t>
  </si>
  <si>
    <t>AHMED HOSSAIN ARCHITECTS AND ASSOCIATES</t>
  </si>
  <si>
    <t>House-10, 2nd Floor, Road-03, Sector-05, Uttara, Dhaka 1230.</t>
  </si>
  <si>
    <t>23.86763735083234, 90.39187008305797</t>
  </si>
  <si>
    <t>ahaaabd17@gmail.com, ashraf303@yahoo.com</t>
  </si>
  <si>
    <t>+88016179672992, +8801727672992</t>
  </si>
  <si>
    <t>Ar. Ashraful Alam Ahmed</t>
  </si>
  <si>
    <t>A-182</t>
  </si>
  <si>
    <t>IAB-RP-A17</t>
  </si>
  <si>
    <t>ALIGN ARCHITECTS</t>
  </si>
  <si>
    <t>House-14, Road-14, 1/Kha, Sugandha, Panchlish, Chittagong.</t>
  </si>
  <si>
    <t>Panchlish</t>
  </si>
  <si>
    <t>Chittagong-4203</t>
  </si>
  <si>
    <t>22.365895644980778, 91.83220598302745</t>
  </si>
  <si>
    <t>hossan_0047@yahioo.com</t>
  </si>
  <si>
    <t>http://aligngroupbd.com/webmail</t>
  </si>
  <si>
    <t>Ar. Hossan Murad</t>
  </si>
  <si>
    <t>M-084</t>
  </si>
  <si>
    <t>CEO &amp; Proprietor</t>
  </si>
  <si>
    <t>IAB-RP-A18</t>
  </si>
  <si>
    <t>ARC.IN.D</t>
  </si>
  <si>
    <t>25, Gulshan Avenue, Taj Casilina (5th Floor), 6/E, Gulshan-1, Dhaka-1212</t>
  </si>
  <si>
    <t>23.777868413841283, 90.41635146771394</t>
  </si>
  <si>
    <t>arcindexind@gmail.com</t>
  </si>
  <si>
    <t>Ar. Nusrat Jahan</t>
  </si>
  <si>
    <t>J-016</t>
  </si>
  <si>
    <t>IAB-RP-A19</t>
  </si>
  <si>
    <t>ARCH.PMC</t>
  </si>
  <si>
    <t>2015-2019</t>
  </si>
  <si>
    <t>Plot-22, Road-12, Block-F, Niketan, Gulshan-1, Dhaka-1212</t>
  </si>
  <si>
    <t>23.77323077555907, 90.41150999779582</t>
  </si>
  <si>
    <t>masiarchitect@gmail.com, arch.pmc.bd@gmail.com</t>
  </si>
  <si>
    <t>www.archpmc.com</t>
  </si>
  <si>
    <t>Ar. Mohammad Sajjadul Islam</t>
  </si>
  <si>
    <t>I-075</t>
  </si>
  <si>
    <t>Principal Architect &amp; CEO</t>
  </si>
  <si>
    <t>IAB-RP-A20</t>
  </si>
  <si>
    <t>ARCHIAAN ARCHITECTS</t>
  </si>
  <si>
    <t>Doreen Vinchita,level-01,Plot-04,Section-05,Rupnagar R/A, Dhaka, 1216</t>
  </si>
  <si>
    <t>Rupnagar</t>
  </si>
  <si>
    <t>Dhaka-1216</t>
  </si>
  <si>
    <t>23.814243986290457, 90.35672785237259</t>
  </si>
  <si>
    <t>archiaan07@gmail.com</t>
  </si>
  <si>
    <t>Ar. Shohel Ahamed</t>
  </si>
  <si>
    <t>A-180</t>
  </si>
  <si>
    <t>Managing Partner</t>
  </si>
  <si>
    <t>IAB-RP-A21</t>
  </si>
  <si>
    <t>ARCHINET ARCHITECTS &amp; ENGINEERS</t>
  </si>
  <si>
    <t>House-33, Road-04, Dhanmondi, Dhaka-1205</t>
  </si>
  <si>
    <t>Dhanmondi</t>
  </si>
  <si>
    <t>23.84665256032095, 90.46122578776504</t>
  </si>
  <si>
    <t>archinet2008@gmail.com</t>
  </si>
  <si>
    <t>Ar. Iftekhar Ahmed</t>
  </si>
  <si>
    <t>A-143</t>
  </si>
  <si>
    <t>IAB-RP-A22</t>
  </si>
  <si>
    <t>ARCHITEKTON PVT. LTD.</t>
  </si>
  <si>
    <t>House-28, Road-28, Block-K, Banani, Dhaka-1213</t>
  </si>
  <si>
    <t>23.795556847345956, 90.40900875422089</t>
  </si>
  <si>
    <t>architekton_bd@yahoo.com, minhas.rahman@architekton.com.bd ,</t>
  </si>
  <si>
    <t>+88-02-9862930, +8801711520963</t>
  </si>
  <si>
    <t>Ar. Minhasur Rahman, Ar. Fuad Hassan Mallick</t>
  </si>
  <si>
    <t>R-044, M-012</t>
  </si>
  <si>
    <t>Managing Director, Share Holder</t>
  </si>
  <si>
    <t>IAB-RP-A23</t>
  </si>
  <si>
    <t>ARCHSTUDIO</t>
  </si>
  <si>
    <t>135 Lane No 5, Dhaka 1206</t>
  </si>
  <si>
    <t>23.783442955486112, 90.39810573273917</t>
  </si>
  <si>
    <t>samabegum@gmail.com</t>
  </si>
  <si>
    <t>Ar. Salma Begum</t>
  </si>
  <si>
    <t>B-044</t>
  </si>
  <si>
    <t>IAB-RP-A24</t>
  </si>
  <si>
    <t>ARCHYTAS LIMITED</t>
  </si>
  <si>
    <t>Road-36, House-16, Gulshan-2, Dhaka 1212.</t>
  </si>
  <si>
    <t>Dhaka 1212</t>
  </si>
  <si>
    <t>23.789090862676638, 90.41544864072733</t>
  </si>
  <si>
    <t>archytas.s@gmail.com</t>
  </si>
  <si>
    <t>www.archytasltd.com</t>
  </si>
  <si>
    <t>Ar. Zahidul Hoque Shaikot</t>
  </si>
  <si>
    <t>S-135</t>
  </si>
  <si>
    <t>IAB-RP-A25</t>
  </si>
  <si>
    <t>ARQUITECTURA DESIGN STUDIO</t>
  </si>
  <si>
    <t>Lake Palisade, House 23, Level 02, Road 27, Dhanmondi, Dhaka 1209</t>
  </si>
  <si>
    <t>Dhaka 1209</t>
  </si>
  <si>
    <t>23.75454363620018, 90.3723142523714</t>
  </si>
  <si>
    <t>faiahsa@gmail.com</t>
  </si>
  <si>
    <t>Ar. Fariha Sharmeen Akbar</t>
  </si>
  <si>
    <t>A-198</t>
  </si>
  <si>
    <t>IAB-RP-A26</t>
  </si>
  <si>
    <t>ARQUITECTURA PVT. LTD.</t>
  </si>
  <si>
    <t>House 23, Level 02, LAKE PALISADE, 1209 Road No 16</t>
  </si>
  <si>
    <t>23.754632015125463, 90.37237862538454</t>
  </si>
  <si>
    <t>mail@arquitecturabd.com</t>
  </si>
  <si>
    <t>www.arquitecturabd.com</t>
  </si>
  <si>
    <t>Ar. Fariha Sharmeen Akbar, Ar. Md. Shafiul Azam Shamim</t>
  </si>
  <si>
    <t>A-198, S-127</t>
  </si>
  <si>
    <t>Chairman, Managing Director</t>
  </si>
  <si>
    <t>IAB-RP-A27</t>
  </si>
  <si>
    <t>AYOTEEK</t>
  </si>
  <si>
    <t>House-B 115, 4th Floor, Lane-7,DOHS, Mohakhali, Dhaka 1206</t>
  </si>
  <si>
    <t>23.78191471733539, 90.39632398305613</t>
  </si>
  <si>
    <t>kasif@ayoteek.com, ayoteek@gmail.com</t>
  </si>
  <si>
    <t>+88-02-9882689, +8801712511535</t>
  </si>
  <si>
    <t>www.ayoteek.com</t>
  </si>
  <si>
    <t>Ar. Muhammed Kasif Hasnaen</t>
  </si>
  <si>
    <t>H-172</t>
  </si>
  <si>
    <t>IAB-RP-A28</t>
  </si>
  <si>
    <t>ARCHITECTURE TOMORROW</t>
  </si>
  <si>
    <t>House-730 (Ground Floor), Road-10, Avenue-3/4, DOHS, Mirpur, Dhaka</t>
  </si>
  <si>
    <t>Pallabi</t>
  </si>
  <si>
    <t>23.83827990420533, 90.36859244072835</t>
  </si>
  <si>
    <t>zaman_arch1122@yahoo.com</t>
  </si>
  <si>
    <t>+88-02-8080884, +8801716526915</t>
  </si>
  <si>
    <t>www.architecturetomorrow.com</t>
  </si>
  <si>
    <t>Ar. Mohammad Saifuzzaman</t>
  </si>
  <si>
    <t>S-111</t>
  </si>
  <si>
    <t>Principal Architect &amp; Managing Director</t>
  </si>
  <si>
    <t>IAB-RP-A29</t>
  </si>
  <si>
    <t>137, Jahanara Garden, Green Road, 5th Floor, Dhaka-1205</t>
  </si>
  <si>
    <t>23.755777134059365, 90.3881761677135</t>
  </si>
  <si>
    <t>helal201@hotmail.com, arescon1984@gmail.com</t>
  </si>
  <si>
    <t>+88-02-8151121, +8801713037260</t>
  </si>
  <si>
    <t>IAB-RP-A30</t>
  </si>
  <si>
    <t>ARCHITECTS’ HORIZON</t>
  </si>
  <si>
    <t>House-05, Road-14, Nikunja2, Khilkhat, Dhaka-1229</t>
  </si>
  <si>
    <t>Khilkhat</t>
  </si>
  <si>
    <t>23.83376958456838, 90.4178301235375</t>
  </si>
  <si>
    <t>biplob.azone@gmail.com</t>
  </si>
  <si>
    <t>+88-02-55098138, +8801755599208</t>
  </si>
  <si>
    <t>www.architectshorizon.com</t>
  </si>
  <si>
    <t>Ar. Biplob Kumar Mondal</t>
  </si>
  <si>
    <t>M-116</t>
  </si>
  <si>
    <t>Founder &amp; Lead Architect</t>
  </si>
  <si>
    <t>IAB-RP-A31</t>
  </si>
  <si>
    <t>ASSOCONSULT LTD.</t>
  </si>
  <si>
    <t>1985-1989</t>
  </si>
  <si>
    <t>849/3, Begum Rokeya Sharani, 2nd Floor, Shewrapara, Mirpur, Dhaka-1216</t>
  </si>
  <si>
    <t>23.789488254685057, 90.37605281189182</t>
  </si>
  <si>
    <t>assoconbangla@yahoo.com</t>
  </si>
  <si>
    <t>+88-02-9004662, +88-02-9004663</t>
  </si>
  <si>
    <t>Ar. Mubasshar Hussain</t>
  </si>
  <si>
    <t>H-013</t>
  </si>
  <si>
    <t>IAB-RP-A32</t>
  </si>
  <si>
    <t>AURITRO ARCHITECTS</t>
  </si>
  <si>
    <t>House-60/A, Road-7/A, Dhanmondi R/A, Dhaka-1209</t>
  </si>
  <si>
    <t>Dhaka-1209</t>
  </si>
  <si>
    <t>23.757606359760935, 90.37274811992813</t>
  </si>
  <si>
    <t>aupee0061@gmail.com</t>
  </si>
  <si>
    <t>+88 01815258257</t>
  </si>
  <si>
    <t>Ar. Mohammad Mahbub Hossain, Ar. Nusrat Sumaiya</t>
  </si>
  <si>
    <t>H-149, S-118</t>
  </si>
  <si>
    <t>Managing Partner, Managing Partner</t>
  </si>
  <si>
    <t>IAB-RP-A33</t>
  </si>
  <si>
    <t>ARCHITECTS &amp; ASSOCIATES LTD</t>
  </si>
  <si>
    <t>Block:-F, Sector:-01, House:-12. Road(Avenue):-09, Rampura - Staff Quarter Rd, Dhaka 1212</t>
  </si>
  <si>
    <t>Rampura</t>
  </si>
  <si>
    <t>23.764187173313758, 90.44382132233949</t>
  </si>
  <si>
    <t>arch@aaaltd.com.bd</t>
  </si>
  <si>
    <t>+88 01758742536, +88 02-47215613</t>
  </si>
  <si>
    <t>Ar. Mahbubul Hasan</t>
  </si>
  <si>
    <t>H-209</t>
  </si>
  <si>
    <t>IAB-RP-A34</t>
  </si>
  <si>
    <t>House-48, Road-02, Block-B, 1st Floor, Niketan R/A, Gulshan-1, Dhaka-1212</t>
  </si>
  <si>
    <t>23.7745861094679, 90.41248013887837</t>
  </si>
  <si>
    <t>+88 01715035772</t>
  </si>
  <si>
    <t>archiworksbd.wixsite.com/home</t>
  </si>
  <si>
    <t>Ar. M. Arefeen Ibrahim</t>
  </si>
  <si>
    <t>IAB-RP-A35</t>
  </si>
  <si>
    <t>Sthapatto Angon Ltd</t>
  </si>
  <si>
    <t>4, 7 Block # A, Dhaka 1207</t>
  </si>
  <si>
    <t>23.75668073249099, 90.3731973523714</t>
  </si>
  <si>
    <t>emun97@gmail.com</t>
  </si>
  <si>
    <t>+88 01711829295</t>
  </si>
  <si>
    <t>Ar. Md. Momanul Islam Emun</t>
  </si>
  <si>
    <t>E-008</t>
  </si>
  <si>
    <t>IAB-RP-A36</t>
  </si>
  <si>
    <t>ARC STUDIO</t>
  </si>
  <si>
    <t>23.7404011204954, 90.39029675946838</t>
  </si>
  <si>
    <t>Ar. Nahas Ahmed Khalil, Ar. Md. Momanul Islam Emun</t>
  </si>
  <si>
    <t>K-022, E-008</t>
  </si>
  <si>
    <t>IAB-RP-B01</t>
  </si>
  <si>
    <t>BASATIKALPA</t>
  </si>
  <si>
    <t>70/1 Naya Paltan, VIP Road, Dhaka‐1000</t>
  </si>
  <si>
    <t>Paltan</t>
  </si>
  <si>
    <t>Dhaka‐1000</t>
  </si>
  <si>
    <t>23.73627186790028, 90.41430346771307</t>
  </si>
  <si>
    <t>asfar@global‐bd.net,</t>
  </si>
  <si>
    <t>+88‐02‐7252314</t>
  </si>
  <si>
    <t>www.basatikalpa.com</t>
  </si>
  <si>
    <t>Ar. Asfarul Islam</t>
  </si>
  <si>
    <t>I‐020</t>
  </si>
  <si>
    <t>IAB-RP-B02</t>
  </si>
  <si>
    <t>BESTEC INFOTECH</t>
  </si>
  <si>
    <t>45 Gulshan Ave, Dhaka 1212</t>
  </si>
  <si>
    <t>Dhaka‐1212</t>
  </si>
  <si>
    <t>23.780726090735644, 90.41634662538505</t>
  </si>
  <si>
    <t>tariqul@bestecgroup.com</t>
  </si>
  <si>
    <t>09611689575‐6</t>
  </si>
  <si>
    <t>Ar. Tariqul Islam</t>
  </si>
  <si>
    <t>I‐028</t>
  </si>
  <si>
    <t>IAB-RP-B03</t>
  </si>
  <si>
    <t>BINYASH</t>
  </si>
  <si>
    <t>House‐480, Road‐32, New DOHS, Mohakhali, Dhaka‐1206</t>
  </si>
  <si>
    <t>Dhaka‐1206</t>
  </si>
  <si>
    <t>23.778811339856595, 90.39491606956261</t>
  </si>
  <si>
    <t>rahat.niaz@gmail.com</t>
  </si>
  <si>
    <t>+88‐02‐8715368</t>
  </si>
  <si>
    <t>www.binyashltd.com</t>
  </si>
  <si>
    <t>Ar. Rahat Mujib Niaz, Ar.Faisal Billah</t>
  </si>
  <si>
    <t>N‐029, B‐034</t>
  </si>
  <si>
    <t>Principal Architect, Architect Partner</t>
  </si>
  <si>
    <t>IAB-RP-B04</t>
  </si>
  <si>
    <t>BKS &amp; ASSOCIATES</t>
  </si>
  <si>
    <t>House‐07, Road‐05, Apt‐5B, Block‐I, Banani, Dkaka‐1213</t>
  </si>
  <si>
    <t>Dkaka‐1213</t>
  </si>
  <si>
    <t>23.781291575625936, 90.39486570341695</t>
  </si>
  <si>
    <t>marathon_architects@yahoo.com</t>
  </si>
  <si>
    <t>+88‐02‐9677467</t>
  </si>
  <si>
    <t>www.bksandassociates.com</t>
  </si>
  <si>
    <t>Ar. Bidhan Kumar Saha</t>
  </si>
  <si>
    <t>S‐062</t>
  </si>
  <si>
    <t>IAB-RP-B05</t>
  </si>
  <si>
    <t>BABUIBASHA: A SUSTAINABLE ARCHITECTURE.</t>
  </si>
  <si>
    <t>The Emporium, D‐05, 14/1, Mirpur Road, Shyamoli, Dhaka‐1207</t>
  </si>
  <si>
    <t>Dhaka‐1207</t>
  </si>
  <si>
    <t>23.744617294725092, 90.37680795606848</t>
  </si>
  <si>
    <t>babuibasha@gmail.com</t>
  </si>
  <si>
    <t>+8801711593658, +8801713453239</t>
  </si>
  <si>
    <t>Ar. Ruksana Sultana</t>
  </si>
  <si>
    <t>S‐155</t>
  </si>
  <si>
    <t>Principal</t>
  </si>
  <si>
    <t>IAB-RP-B06</t>
  </si>
  <si>
    <t>37 BRIDGE</t>
  </si>
  <si>
    <t>138, Darus Salam, Mirpur, Dhaka</t>
  </si>
  <si>
    <t>Darus Salam</t>
  </si>
  <si>
    <t>23.786205611175607, 90.35386259654966</t>
  </si>
  <si>
    <t>contact@37bridge.net</t>
  </si>
  <si>
    <t>+88‐02‐8051994</t>
  </si>
  <si>
    <t>www.37bridge.net</t>
  </si>
  <si>
    <t>Ar. Faysal Kabir</t>
  </si>
  <si>
    <t>K‐108</t>
  </si>
  <si>
    <t>IAB-RP-B07</t>
  </si>
  <si>
    <t>BASHA BARI LTD.</t>
  </si>
  <si>
    <t>3rd Floor, 332, Elephant Road, Dhaka‐1205</t>
  </si>
  <si>
    <t>Dhaka‐1205</t>
  </si>
  <si>
    <t>23.737033993919216, 90.38694376771309</t>
  </si>
  <si>
    <t>bashabari.architects@gmail.com</t>
  </si>
  <si>
    <t>+88‐01711534290</t>
  </si>
  <si>
    <t>Ar. Dr. Prof. Nizamuddin Ahmed</t>
  </si>
  <si>
    <t>A‐040</t>
  </si>
  <si>
    <t>IAB-RP-C01</t>
  </si>
  <si>
    <t>CAD LTD</t>
  </si>
  <si>
    <t>CWN (B), 18/B, Road‐44, Gulshan‐2, Dhaka‐1212</t>
  </si>
  <si>
    <t>23.79190117131626, 90.41358423887871</t>
  </si>
  <si>
    <t>cadinan@gmail.com, cadsayeda@gmail.com</t>
  </si>
  <si>
    <t>Ar. B.K.S. Inan, Ar. Sayeda Sultana</t>
  </si>
  <si>
    <t>I‐015, S‐017</t>
  </si>
  <si>
    <t>Managing Director, Director</t>
  </si>
  <si>
    <t>IAB-RP-C02</t>
  </si>
  <si>
    <t>COCREATE STUDIO</t>
  </si>
  <si>
    <t>65, Suvastu Imam Square, 5th Floor, Gulshan Avenue, Gulshan‐1, Dhaka‐1212</t>
  </si>
  <si>
    <t>23.783712703246305, 90.4164465965496</t>
  </si>
  <si>
    <t>cocreate@suvastu.com.bd</t>
  </si>
  <si>
    <t>Ar. Nazmul Haque Khan</t>
  </si>
  <si>
    <t>K‐056</t>
  </si>
  <si>
    <t>IAB-RP-C03</t>
  </si>
  <si>
    <t>CUBEINSIDE DESIGN LTD.</t>
  </si>
  <si>
    <t>House‐5B, Road‐05, Block‐I, Banani, Dhaka‐1213</t>
  </si>
  <si>
    <t>Dhaka‐1213</t>
  </si>
  <si>
    <t>23.792890899570374, 90.40392624072737</t>
  </si>
  <si>
    <t>cubeinside@gmail.com</t>
  </si>
  <si>
    <t>+88‐02‐9870193</t>
  </si>
  <si>
    <t>www.cubeinsidebd.com</t>
  </si>
  <si>
    <t>Ar. Khandaker Ashifuzzaman, Ar. Ahmed Firoj Ul Hoque, Ar. Shakhawat Hossain</t>
  </si>
  <si>
    <t>A‐194, H‐213, H‐216</t>
  </si>
  <si>
    <t>Managing Director, Chairman, Director</t>
  </si>
  <si>
    <t>IAB-RP-D01</t>
  </si>
  <si>
    <t>DESH UPODESH LTD</t>
  </si>
  <si>
    <t>1975-1979</t>
  </si>
  <si>
    <t>Chartered University College , Campus-2, Road No 16, Dhaka 1209</t>
  </si>
  <si>
    <t>Dhaka‐1209</t>
  </si>
  <si>
    <t>23.754769495463275, 90.3726054100424</t>
  </si>
  <si>
    <t>munirullah@gmail.com, alfaz.hossain1@gmail.com</t>
  </si>
  <si>
    <t>+88‐02‐8117694, 9137154</t>
  </si>
  <si>
    <t>www.deshupodesh.com</t>
  </si>
  <si>
    <t>Ar. Munirul Haque, Ar. Alfaz Hossain</t>
  </si>
  <si>
    <t>H‐011, H‐003</t>
  </si>
  <si>
    <t>IAB-RP-D02</t>
  </si>
  <si>
    <t>DESIGN CELL</t>
  </si>
  <si>
    <t>75 Indera Road, Metro Garden, Ground Floor, Flat‐GC, Dhaka‐1215</t>
  </si>
  <si>
    <t>Dhaka‐1215</t>
  </si>
  <si>
    <t>23.759719593495188, 90.38351616783942</t>
  </si>
  <si>
    <t>designcell.cell@gmail.com</t>
  </si>
  <si>
    <t>+88‐02‐ 8150612</t>
  </si>
  <si>
    <t>Ar. Arif Hasan</t>
  </si>
  <si>
    <t>H‐136</t>
  </si>
  <si>
    <t>CEO</t>
  </si>
  <si>
    <t>IAB-RP-D03</t>
  </si>
  <si>
    <t>DESIGN ENGINEERS &amp; ARCHITECTS</t>
  </si>
  <si>
    <t>1990-1994</t>
  </si>
  <si>
    <t>House‐14, Road‐9, Sector‐4, Uttara</t>
  </si>
  <si>
    <t>Dhaka-1230</t>
  </si>
  <si>
    <t>23.86546993174376, 90.39894505237368</t>
  </si>
  <si>
    <t>tjl_slm@yahoo.com</t>
  </si>
  <si>
    <t>+88‐02‐9886055</t>
  </si>
  <si>
    <t>Ar. Tajul Islam</t>
  </si>
  <si>
    <t>I‐019</t>
  </si>
  <si>
    <t>IAB-RP-D04</t>
  </si>
  <si>
    <t>DESIGN VISION ASSOCIATES LTD</t>
  </si>
  <si>
    <t>AAA Tower, Plot‐80, Block‐J, baridhara pragati Sharani, Dhaka‐1212</t>
  </si>
  <si>
    <t>23.80388635047965, 90.42319225422109</t>
  </si>
  <si>
    <t>info@designvision.com.bd</t>
  </si>
  <si>
    <t>+88‐02‐9895183, 8834353</t>
  </si>
  <si>
    <t>www.designvision.com.bd</t>
  </si>
  <si>
    <t>Ar. Alamgir Jalil, Ar. Shamina Reza Ava</t>
  </si>
  <si>
    <t>J‐014, CA‐020</t>
  </si>
  <si>
    <t>Managing Director, Chairman</t>
  </si>
  <si>
    <t>IAB-RP-D05</t>
  </si>
  <si>
    <t>DOMUS</t>
  </si>
  <si>
    <t>Safura Tower(level 14), 20 Kamal Atartuk Avenue,Banani C/A, Banani ,Dhaka 1213</t>
  </si>
  <si>
    <t>Dhaka 1213</t>
  </si>
  <si>
    <t>23.795656932680046, 90.40380704614736</t>
  </si>
  <si>
    <t>domus@accesstel.net , domusdesk@gmail.com</t>
  </si>
  <si>
    <t>+88‐02‐8822629,9820968,9820969,9889418</t>
  </si>
  <si>
    <t>www.domusbdarchitects.com</t>
  </si>
  <si>
    <t>Ar. Mustafa Ameen</t>
  </si>
  <si>
    <t>A‐010</t>
  </si>
  <si>
    <t>IAB-RP-D06</t>
  </si>
  <si>
    <t>DCON DESIGN STUDIO</t>
  </si>
  <si>
    <t>6/10, 1st Floor, Lalmatia, Block‐A, Dhaka</t>
  </si>
  <si>
    <t>23.762777764071036, 90.37120232538469</t>
  </si>
  <si>
    <t>dcon.design@gmail.com, faisal2395@hotmail.com</t>
  </si>
  <si>
    <t>: +8801711614551</t>
  </si>
  <si>
    <t>Ar. Abu Anas Faisal</t>
  </si>
  <si>
    <t>F‐012</t>
  </si>
  <si>
    <t>Partner</t>
  </si>
  <si>
    <t>IAB-RP-D07</t>
  </si>
  <si>
    <t>DEHSAR WORKS</t>
  </si>
  <si>
    <t>House 82, Road 05, Block F, Dhaka 1213</t>
  </si>
  <si>
    <t>23.78908111459377, 90.40221133887857</t>
  </si>
  <si>
    <t>rashed@dehsarworks.com</t>
  </si>
  <si>
    <t>www.dehsarworks.com</t>
  </si>
  <si>
    <t>Ar. Rashed Hassan Chowdhury</t>
  </si>
  <si>
    <t>C‐069</t>
  </si>
  <si>
    <t>IAB-RP-D08</t>
  </si>
  <si>
    <t>DIAGONAL ARCHITECTS</t>
  </si>
  <si>
    <t>Flat‐A‐14, (14th Floor), Building‐12, Bashati Provati, Ring Road, Shyamoli, Dhaka‐1207.</t>
  </si>
  <si>
    <t>23.774627118144778, 90.36366079799045</t>
  </si>
  <si>
    <t>fairoze@diagonalarchitects‐bd.com</t>
  </si>
  <si>
    <t>+88‐02‐9126473, +8801766490119</t>
  </si>
  <si>
    <t>Ar. Fairoze Shamim</t>
  </si>
  <si>
    <t>S‐067</t>
  </si>
  <si>
    <t>CEO &amp; Principal Architect</t>
  </si>
  <si>
    <t>IAB-RP-D09</t>
  </si>
  <si>
    <t>DOT ARCHITECTS</t>
  </si>
  <si>
    <t>House‐40, Road‐12, Block‐Kha, PC Culture Housing Society, Mohammadpur, Dhaka‐1207</t>
  </si>
  <si>
    <t>23.757801026143145, 90.35943155626894</t>
  </si>
  <si>
    <t>Dot.architects@hotmail.com</t>
  </si>
  <si>
    <t>+8801612880595, +8801965370464</t>
  </si>
  <si>
    <t>Ar. Sudeshna Shireen Chowdhury, Ar. M Shihabul Wares, Ar. Eshita Rahman</t>
  </si>
  <si>
    <t>C‐063, AW‐007, AW‐007</t>
  </si>
  <si>
    <t>Partner Architect, Partner Architect, Partner Architect</t>
  </si>
  <si>
    <t>IAB-RP-D10</t>
  </si>
  <si>
    <t>DWG</t>
  </si>
  <si>
    <t>House‐56,Road‐27,Apt‐1 C1, Dhanmond R/A, Dhaka‐1209</t>
  </si>
  <si>
    <t>23.752519339713302, 90.36817576771338</t>
  </si>
  <si>
    <t>info@dwg‐office.com</t>
  </si>
  <si>
    <t>+88‐02‐9125596, +8801819287680</t>
  </si>
  <si>
    <t>www.dwg‐office.com</t>
  </si>
  <si>
    <t>Ar. Naheed Farzana, Ar. Tanzim Hasan Salim</t>
  </si>
  <si>
    <t>F‐010, S‐063</t>
  </si>
  <si>
    <t>Managing Partner, Partner Architect</t>
  </si>
  <si>
    <t>IAB-RP-D11</t>
  </si>
  <si>
    <t>DA‐SEIN ARCHITECTS</t>
  </si>
  <si>
    <t>Unit: 1/C/1, House: 56, Road: 27(old), 16 (new), Dhanmondi, Dhaka‐1209.</t>
  </si>
  <si>
    <t>23.745773285122837, 90.37646276108936</t>
  </si>
  <si>
    <t>shawon.dasein@gmail.com</t>
  </si>
  <si>
    <t>+88 01711937254, +88 02‐9125596</t>
  </si>
  <si>
    <t>www.dasein‐bd.com</t>
  </si>
  <si>
    <t>Ar. Md Rashidur Rahman, Tanzir Choudhury Tuhin</t>
  </si>
  <si>
    <t>R‐134</t>
  </si>
  <si>
    <t>Principal Architect, Partner</t>
  </si>
  <si>
    <t>IAB-RP-D12</t>
  </si>
  <si>
    <t>DWm4 ARCHITECTS</t>
  </si>
  <si>
    <t>236, Lake Road , New DOHS , Mohkhali , Dhaka ‐1206</t>
  </si>
  <si>
    <t>Dhaka ‐1206</t>
  </si>
  <si>
    <t>23.794697660708955, 90.40404251470841</t>
  </si>
  <si>
    <t>+88 01712921323, +88 02‐9885564</t>
  </si>
  <si>
    <t>www.dwm4.com</t>
  </si>
  <si>
    <t>Ar. Mamnoon M. Chowdhury, Ar. Mahmudul Anwar Riyaad</t>
  </si>
  <si>
    <t>C‐031, R‐081</t>
  </si>
  <si>
    <t>Architect &amp; Partner, Architect &amp; Partner</t>
  </si>
  <si>
    <t>IAB-RP-D13</t>
  </si>
  <si>
    <t>DWm4 INTRENDS LTD.</t>
  </si>
  <si>
    <t>236, Lake Road, New DOHS, Mohakhali, Dhaka‐1206</t>
  </si>
  <si>
    <t>23.78284854217814, 90.39318498345592</t>
  </si>
  <si>
    <t>info@dwm4intrends.com</t>
  </si>
  <si>
    <t>+88 02‐222280802</t>
  </si>
  <si>
    <t>www.dwm4intrends.com</t>
  </si>
  <si>
    <t>Chairman, Director</t>
  </si>
  <si>
    <t>IAB-RP-E01</t>
  </si>
  <si>
    <t>ENVIRON STRUCTURE LTD.</t>
  </si>
  <si>
    <t>House: 176, Lane: 2, Dhaka 1212</t>
  </si>
  <si>
    <t>23.784244121758743, 90.39804593045768</t>
  </si>
  <si>
    <t>esl_arch@yahoo.com</t>
  </si>
  <si>
    <t>+88‐02‐9660876, 9660851</t>
  </si>
  <si>
    <t>Ar. Moid Ul Ahsan</t>
  </si>
  <si>
    <t>A‐028</t>
  </si>
  <si>
    <t>IAB-RP-E02</t>
  </si>
  <si>
    <t>ECLIPTIC</t>
  </si>
  <si>
    <t>27/D, Monipuripara, Tejgaon, Dhaka‐1215</t>
  </si>
  <si>
    <t>23.76056088686308, 90.38431521189119</t>
  </si>
  <si>
    <t>eclipticbd@gmail.com</t>
  </si>
  <si>
    <t>+88‐02‐9145364, +8801819244544</t>
  </si>
  <si>
    <t>Ar. Tanwir Serajuddowla</t>
  </si>
  <si>
    <t>S‐075</t>
  </si>
  <si>
    <t>Chairman &amp; Principal Architect</t>
  </si>
  <si>
    <t>IAB-RP-E03</t>
  </si>
  <si>
    <t>EHSAN KHAN ARCHITECTS LTD.</t>
  </si>
  <si>
    <t>25, Gulshan Avenue, Taj Casilina (5th Floor), 6/E, Gulshan‐1, Dhaka‐1212</t>
  </si>
  <si>
    <t>23.777819323213347, 90.41630855237186</t>
  </si>
  <si>
    <t>ehsan@ekarchitects.com.bd, admin@ekarchitects.com.bd</t>
  </si>
  <si>
    <t>+88‐02‐9890855</t>
  </si>
  <si>
    <t>Ar. Md. Ehsan Khan</t>
  </si>
  <si>
    <t>K‐047</t>
  </si>
  <si>
    <t>IAB-RP-E04</t>
  </si>
  <si>
    <t>ENVISION ARCHITECTS</t>
  </si>
  <si>
    <t>6/2, Block‐B, 1st Floor, Lalmatia, Dhaka‐1207</t>
  </si>
  <si>
    <t>23.75630375407839, 90.36744888305554</t>
  </si>
  <si>
    <t>qazimarif2012@gmail.com, principal@envision‐arch.org</t>
  </si>
  <si>
    <t>+88‐02‐58151763</t>
  </si>
  <si>
    <t>www.envision‐arch.org</t>
  </si>
  <si>
    <t>Ar. Qazi Muhammad Arif</t>
  </si>
  <si>
    <t>A‐059</t>
  </si>
  <si>
    <t>IAB-RP-F01</t>
  </si>
  <si>
    <t>FOURTH DIMENSION</t>
  </si>
  <si>
    <t>House‐25/A, Road‐18, Sector‐3, Uttara Model Town, Dhaka‐1230</t>
  </si>
  <si>
    <t>Dhaka‐1230</t>
  </si>
  <si>
    <t>23.863506040459644, 90.40054067088477</t>
  </si>
  <si>
    <t>turjo_96inte@yahoo.com</t>
  </si>
  <si>
    <t>+88‐02‐7913394, 8957701</t>
  </si>
  <si>
    <t>www.fourthdimensionbd.com</t>
  </si>
  <si>
    <t>Ar. A. F. M. Ashek Imran</t>
  </si>
  <si>
    <t>I‐061</t>
  </si>
  <si>
    <t>Proprietor &amp; Principal Architect</t>
  </si>
  <si>
    <t>IAB-RP-F02</t>
  </si>
  <si>
    <t>FALGUNI MALLICK &amp; ASSOCIATES</t>
  </si>
  <si>
    <t>Flat‐B2, House‐29&amp;31, Road‐18, Sector‐7, Uttara, Dhaka‐1230</t>
  </si>
  <si>
    <t>23.869344202842218, 90.39431799655138</t>
  </si>
  <si>
    <t>fma_architects@yahoo.com, fmallick74@gmail.com</t>
  </si>
  <si>
    <t>Ar. Falguni Mallick</t>
  </si>
  <si>
    <t>M‐046</t>
  </si>
  <si>
    <t>IAB-RP-F03</t>
  </si>
  <si>
    <t>FIALKA</t>
  </si>
  <si>
    <t>Press Club Building, (2nd Floor), Jamal Khan Road, Chittagong.</t>
  </si>
  <si>
    <t>22.346141179660062, 91.83422812905332</t>
  </si>
  <si>
    <t>ashiq.fialka@gmail.com</t>
  </si>
  <si>
    <t>+88‐031‐618599, +88‐031‐2863269</t>
  </si>
  <si>
    <t>Ar. Ashiq Imran</t>
  </si>
  <si>
    <t>I‐044</t>
  </si>
  <si>
    <t>IAB-RP-G01</t>
  </si>
  <si>
    <t>GKA &amp; ASSOCIATES</t>
  </si>
  <si>
    <t>5A, 5th Floor, House‐99, Road‐11/A, Dhanmondi R/A, Dhaka‐1209</t>
  </si>
  <si>
    <t>23.746875934171094, 90.3714284749773</t>
  </si>
  <si>
    <t>gakhan0306@yahoo.com</t>
  </si>
  <si>
    <t>+88‐02‐8191082</t>
  </si>
  <si>
    <t>www.gka‐bd.com</t>
  </si>
  <si>
    <t>Ar. Ghausul Alam Khan</t>
  </si>
  <si>
    <t>K‐027</t>
  </si>
  <si>
    <t>IAB-RP-G02</t>
  </si>
  <si>
    <t>GENESIS ARCHITECTS</t>
  </si>
  <si>
    <t>House‐F‐214/3, Uttar Chaya Bithy, Gazipur Sadar, Gazipur‐1700</t>
  </si>
  <si>
    <t>Gazipur Sadar</t>
  </si>
  <si>
    <t>Gazipur‐1700</t>
  </si>
  <si>
    <t>24.00047061108824, 90.4272515984028</t>
  </si>
  <si>
    <t>info@genesis.archi</t>
  </si>
  <si>
    <t>Ar. Noymul Haque Nohon</t>
  </si>
  <si>
    <t>N‐040</t>
  </si>
  <si>
    <t>IAB-RP-G03</t>
  </si>
  <si>
    <t>GRAVITY ARCHITECTURE STUDIO</t>
  </si>
  <si>
    <t>House 268 (4th Floor‐Right), Road 19, New DOHS Mohakhali, Dhaka‐1206.</t>
  </si>
  <si>
    <t>23.78415082011948, 90.39364141004303</t>
  </si>
  <si>
    <t>gravity.asbd@gmail.com</t>
  </si>
  <si>
    <t>+88 01730096986, +88 01676057570</t>
  </si>
  <si>
    <t>www.gravityarchitecturestudio.com</t>
  </si>
  <si>
    <t>Ar. Md. Nahid Hasan, Ar. S M Ruhul Amin, Ar. Animesh Provaker Debnath</t>
  </si>
  <si>
    <t>H‐186, A‐221, D‐018</t>
  </si>
  <si>
    <t>Managing Partner, Partner, Partner</t>
  </si>
  <si>
    <t>IAB-RP-H01</t>
  </si>
  <si>
    <t>H I ARCHITECTS</t>
  </si>
  <si>
    <t>101, R M Centre (Level‐3), CWN (C) 5, Gulshan Avenue, Gulshan, Dhaka‐121</t>
  </si>
  <si>
    <t>Dhaka‐121</t>
  </si>
  <si>
    <t>23.79156341927117, 90.41872126123015</t>
  </si>
  <si>
    <t>md.hasan.imam23@gmail.com</t>
  </si>
  <si>
    <t>+88 01714110471</t>
  </si>
  <si>
    <t>Ar. Mohammad Hasan Imam</t>
  </si>
  <si>
    <t>I‐037</t>
  </si>
  <si>
    <t>IAB-RP-I01</t>
  </si>
  <si>
    <t>IDEA</t>
  </si>
  <si>
    <t>JMC Plaza, Flat‐A‐6, House‐8/A/9, Road‐13(New), Dhanmondi, Dhaka‐1209</t>
  </si>
  <si>
    <t>23.753462378132394, 90.37436709654895</t>
  </si>
  <si>
    <t>idea@enstudio.org</t>
  </si>
  <si>
    <t>+88‐02‐9144347</t>
  </si>
  <si>
    <t>Ar. Moushumi Ahmed</t>
  </si>
  <si>
    <t>A‐159</t>
  </si>
  <si>
    <t>IAB-RP-I02</t>
  </si>
  <si>
    <t>IMAGE ARCHITECTS</t>
  </si>
  <si>
    <t>House‐10/GA, Road‐2, Shyamoli, Dhaka‐1207</t>
  </si>
  <si>
    <t>23.745043611451564, 90.39571075421983</t>
  </si>
  <si>
    <t>image_architects@yahoo.com</t>
  </si>
  <si>
    <t>+8801712573353, +8801681235750</t>
  </si>
  <si>
    <t>Ar. Md. Emdadul Habib</t>
  </si>
  <si>
    <t>H‐155</t>
  </si>
  <si>
    <t>IAB-RP-I03</t>
  </si>
  <si>
    <t>INGRID ARCHITECTS</t>
  </si>
  <si>
    <t>House#394(3rd floor), Road#29, DOHS Mohakhali , Dhaka 1206</t>
  </si>
  <si>
    <t>23.780296383750674, 90.39400528305605</t>
  </si>
  <si>
    <t>ingrid_dhaka@yahoo.com</t>
  </si>
  <si>
    <t>+88‐02‐9880507</t>
  </si>
  <si>
    <t>Ar. Anwarul Islam Khan, A.K.M. Abu Hasan, Md. Mahfil Ali, Md. Mushtaque Ahmed Tanvir</t>
  </si>
  <si>
    <t>K‐083, H‐116, A‐076, A‐096</t>
  </si>
  <si>
    <t>Partner, Partner, Partner, Partner</t>
  </si>
  <si>
    <t>IAB-RP-I04</t>
  </si>
  <si>
    <t>ICON DESIGN STUDIO</t>
  </si>
  <si>
    <t>Icon Elan, House‐29, Road‐7, 1st Floor, Dhanmondi, Dhaka‐1205</t>
  </si>
  <si>
    <t>23.788901511146424, 90.40085802353654</t>
  </si>
  <si>
    <t>suriti@icon‐bd.com</t>
  </si>
  <si>
    <t>Ar. Suriti Tassannum</t>
  </si>
  <si>
    <t>T‐022</t>
  </si>
  <si>
    <t>IAB-RP-I05</t>
  </si>
  <si>
    <t>INARCH STUDIO AND CONSTRUCTION LIMITED</t>
  </si>
  <si>
    <t>House‐140, 3rd Floor, Road‐04, New DOHS, Mohakhali, Dhaka‐1206</t>
  </si>
  <si>
    <t>23.957138147984725, 90.42826680503327</t>
  </si>
  <si>
    <t>studio.inarch@gmail.com</t>
  </si>
  <si>
    <t>www.studioinarch.com.bd</t>
  </si>
  <si>
    <t>Ar. Mohammad Mamunur Rasheed</t>
  </si>
  <si>
    <t>R‐089</t>
  </si>
  <si>
    <t>Managing Director &amp; Principal Architect</t>
  </si>
  <si>
    <t>IAB-RP-I06</t>
  </si>
  <si>
    <t>INSIGHT ARCHITECTS</t>
  </si>
  <si>
    <t>House‐122, Road‐01, Mohammadi Housing Society, Mohammadpur, Dhaka‐1207</t>
  </si>
  <si>
    <t>23.763074782878235, 90.35751832353601</t>
  </si>
  <si>
    <t>insightarcdhaka@gmail.com</t>
  </si>
  <si>
    <t>www.facebook.com/insightarch</t>
  </si>
  <si>
    <t>Ar. Masud Ur Rashid</t>
  </si>
  <si>
    <t>R‐104</t>
  </si>
  <si>
    <t>IAB-RP-I07</t>
  </si>
  <si>
    <t>IN QUEST DESIGN STUDIO</t>
  </si>
  <si>
    <t>House‐5/12, Ground Floor, Block‐D, Lalmatia, Dhaka‐1209</t>
  </si>
  <si>
    <t>23.756368373746472, 90.36736645237136</t>
  </si>
  <si>
    <t>inquestbd@gmail.com</t>
  </si>
  <si>
    <t>02 58153033, +88 01713038759, +88 01717602792</t>
  </si>
  <si>
    <t>www.inquestbd.com</t>
  </si>
  <si>
    <t>Ar. Selim Altaf Biplob, Ar. Tamanna Sayeed, Ar. Khalid Bin Kabir</t>
  </si>
  <si>
    <t>B‐025, S‐061, K‐129</t>
  </si>
  <si>
    <t>Sr. Partner, Sr. Partner, Partner</t>
  </si>
  <si>
    <t>IAB-RP-I08</t>
  </si>
  <si>
    <t>INTEGRATED DESIGNERS, ENGINEERS AND ARCHITECTS LIMITED</t>
  </si>
  <si>
    <t>2020-2024</t>
  </si>
  <si>
    <t>Flat‐C5, Mother’s Dream Apartments, 1/2, 1/3 Darussalam, Dhaka‐1216</t>
  </si>
  <si>
    <t>Darussalam</t>
  </si>
  <si>
    <t>Dhaka‐1216</t>
  </si>
  <si>
    <t>23.770600790232987, 90.36746969160917</t>
  </si>
  <si>
    <t>contact.ideal.consultants@gmail.com</t>
  </si>
  <si>
    <t>+88 01912085801</t>
  </si>
  <si>
    <t>Ar. Syed Abdul Halim</t>
  </si>
  <si>
    <t>H‐233</t>
  </si>
  <si>
    <t>IAB-RP-J01</t>
  </si>
  <si>
    <t>J.A.ARCHITECTS LTD.</t>
  </si>
  <si>
    <t>Apt: C1, 1st Floor, Rabbee House, CEN(B)11, Road 99,Gulshan 2, Dhaka‐1212</t>
  </si>
  <si>
    <t>23.794455182445652, 90.41918249654981</t>
  </si>
  <si>
    <t>mail@jaarchitects.com.bd</t>
  </si>
  <si>
    <t>+88‐02‐9889196, 9887311</t>
  </si>
  <si>
    <t>www.jaarchitects.com.bd</t>
  </si>
  <si>
    <t>Ar. Afroza Ahmed, Ar. Jalal Ahmed, Ar. Md. Ismail Ibrahim, Ar. Md. Atiqul Haq</t>
  </si>
  <si>
    <t>A‐087, A‐036, I‐057, H‐073</t>
  </si>
  <si>
    <t>Chairperson, Managing Director, Director, Director</t>
  </si>
  <si>
    <t>IAB-RP-J02</t>
  </si>
  <si>
    <t>J.M. CONSULTANT</t>
  </si>
  <si>
    <t>937, Flat‐G5, Eidgha Road, Ibrahimpur, Kafrul, Cantonment, Dhaka</t>
  </si>
  <si>
    <t>Kafrul</t>
  </si>
  <si>
    <t>23.794187582809737, 90.38307738305637</t>
  </si>
  <si>
    <t>consultant.jm878@gmail.com, mrinmoyadhakary@yahoo.com</t>
  </si>
  <si>
    <t>+8801712621792, +8801942909110</t>
  </si>
  <si>
    <t>Ar. Mrinmoy Adhikary</t>
  </si>
  <si>
    <t>A‐121</t>
  </si>
  <si>
    <t>Sr. Architect</t>
  </si>
  <si>
    <t>IAB-RP-K01</t>
  </si>
  <si>
    <t>KHETRO</t>
  </si>
  <si>
    <t>Flat ‐1, House‐431,Road‐30,New DOHS,Mohakhali, Dhaka‐1206</t>
  </si>
  <si>
    <t>23.774805008641046, 90.40699868987215</t>
  </si>
  <si>
    <t>info@khetro.com</t>
  </si>
  <si>
    <t>+88‐02‐8872212</t>
  </si>
  <si>
    <t>www.khetro.com</t>
  </si>
  <si>
    <t>Ar. Al Numan Md. Yunus, Ar. Dhrubajyoti Das, Md. Shumsuddin Ahmed Bhuiyan, Md. Hasan Al Emtiaz Zafree</t>
  </si>
  <si>
    <t>Y‐008, D‐014, B‐041, CZ‐011</t>
  </si>
  <si>
    <t>Managing Partner, Partner,Partner, Partner</t>
  </si>
  <si>
    <t>IAB-RP-K02</t>
  </si>
  <si>
    <t>KHETTRA ARCHITECTS</t>
  </si>
  <si>
    <t>H#72,Ground Floor,R#8/A, Dhanmondi,Dhaka‐1209</t>
  </si>
  <si>
    <t>23.806946549820445, 90.35724341680212</t>
  </si>
  <si>
    <t>khettra@gmail.com</t>
  </si>
  <si>
    <t>+88‐02‐ 8142871</t>
  </si>
  <si>
    <t>www.khettraarchitects.com</t>
  </si>
  <si>
    <t>Ar. Mainul Quader Tito</t>
  </si>
  <si>
    <t>T‐006</t>
  </si>
  <si>
    <t>IAB-RP-K03</t>
  </si>
  <si>
    <t>K2AH+ ARCHITECTS</t>
  </si>
  <si>
    <t>House‐91, 1st Floor, Road‐9/A, Dhanmondi, Dhaka‐1209</t>
  </si>
  <si>
    <t>23.74786486617721, 90.36912289654886</t>
  </si>
  <si>
    <t>k2ah.architects@gmail.com</t>
  </si>
  <si>
    <t>8801717183918, +8801717068255</t>
  </si>
  <si>
    <t>https://www.facebook.com/K2AHArchitects</t>
  </si>
  <si>
    <t>Ar. Ahsanul Haque Rubel, Ar. Kawsary Perveen</t>
  </si>
  <si>
    <t>R‐153, P‐011</t>
  </si>
  <si>
    <t>IAB-RP-K04</t>
  </si>
  <si>
    <t>KHETTRA ARCHITECTS &amp; ENGINEERS LIMITED</t>
  </si>
  <si>
    <t>House‐337, Ground Floor, Road‐23, New DOHS, Mohakhali, Dhaka‐1206</t>
  </si>
  <si>
    <t>23.8234575186888, 90.4348610472269</t>
  </si>
  <si>
    <t>khettra2000@gmail.com</t>
  </si>
  <si>
    <t>+88‐02‐8835831</t>
  </si>
  <si>
    <t>Ar. A.K.M Lutful Kabir</t>
  </si>
  <si>
    <t>K‐065</t>
  </si>
  <si>
    <t>IAB-RP-K05</t>
  </si>
  <si>
    <t>KALPAK ARCHITECTS</t>
  </si>
  <si>
    <t>13‐B, Rupsha Tower, 07, Kemal Ataturk Avenue, Banani, Dhaka</t>
  </si>
  <si>
    <t>23.79417841808833, 90.40332921004324</t>
  </si>
  <si>
    <t>kkalpon@gmail.com</t>
  </si>
  <si>
    <t>+88 01711899081</t>
  </si>
  <si>
    <t>Ar. Kazi Touhidul Islam, Ar. Hasina Shams</t>
  </si>
  <si>
    <t>I‐041, S‐097</t>
  </si>
  <si>
    <t>IAB-RP-M01</t>
  </si>
  <si>
    <t>MATRIX</t>
  </si>
  <si>
    <t>House‐B‐181, (3rd Floor), Road‐23, New DOHS, Mohakhali, Dhaka‐1206</t>
  </si>
  <si>
    <t>23.783282149456717, 90.3927359179904</t>
  </si>
  <si>
    <t>archmiraz@yahoo.com</t>
  </si>
  <si>
    <t>Ar. Muhammed Miraz Ur Rahman</t>
  </si>
  <si>
    <t>R‐087</t>
  </si>
  <si>
    <t>IAB-RP-M02</t>
  </si>
  <si>
    <t>MAATRIK ARCHITECTS</t>
  </si>
  <si>
    <t>137/A/1, Jahanara Garden, Green Road, Dhaka‐1205</t>
  </si>
  <si>
    <t>23.756856892733772, 90.37381011004246</t>
  </si>
  <si>
    <t>maatrikmail@gmail.com</t>
  </si>
  <si>
    <t>+8801723563209, +8801673545909</t>
  </si>
  <si>
    <t>www.maatrik.net</t>
  </si>
  <si>
    <t>Ar. Md. Aminul Islam</t>
  </si>
  <si>
    <t>I‐051</t>
  </si>
  <si>
    <t>IAB-RP-M03</t>
  </si>
  <si>
    <t>MW3 DESIGN + PARTNERS</t>
  </si>
  <si>
    <t>House‐24 (7th Floor), Road‐14, Block‐G, Niketon, Gulshan‐1, Dhaka‐1212</t>
  </si>
  <si>
    <t>23.77287803607439, 90.4080439825032</t>
  </si>
  <si>
    <t>mahtab@mw3.com.bd, mw3designpartners@gmail.com</t>
  </si>
  <si>
    <t>+88‐02‐9840957</t>
  </si>
  <si>
    <t>www.mw3.com.bd</t>
  </si>
  <si>
    <t>Ar. Mahtab Hussain Siddique</t>
  </si>
  <si>
    <t>S‐101</t>
  </si>
  <si>
    <t>President &amp; Principal Architect</t>
  </si>
  <si>
    <t>IAB-RP-N01</t>
  </si>
  <si>
    <t>NAYREET ARCHITECTS</t>
  </si>
  <si>
    <t>House‐14, Road‐13/C, Block‐E, Banani, Dhaka‐1213</t>
  </si>
  <si>
    <t>23.791974071189507, 90.40730188120763</t>
  </si>
  <si>
    <t>nayreet_architects@yahoo.com</t>
  </si>
  <si>
    <t>www.nayreetarchitects.com</t>
  </si>
  <si>
    <t>Ar. Shaila Joarder, Ar. Md. Ruhul Amin, Ar. Atiqur Rahman</t>
  </si>
  <si>
    <t>J‐013, A‐196, R‐115</t>
  </si>
  <si>
    <t>IAB-RP-N02</t>
  </si>
  <si>
    <t>NOUVEAU ARCHITECTS.</t>
  </si>
  <si>
    <t>House‐F5, Ground Floor, Block‐E, Jakir Hossain Road, Mohammadpur, Dhaka‐1207</t>
  </si>
  <si>
    <t>23.791055089932136, 90.40361633887866</t>
  </si>
  <si>
    <t>razaoull@gmail.com</t>
  </si>
  <si>
    <t>Ar. Mohammed Razaoull Karim</t>
  </si>
  <si>
    <t>K‐132</t>
  </si>
  <si>
    <t>IAB-RP-N03</t>
  </si>
  <si>
    <t>NAKSHABID ARCHITECTS</t>
  </si>
  <si>
    <t>8, Kemal Ataturk Avenue, ABC House (5th Floor), Banani C/A, Dhaka‐1213.</t>
  </si>
  <si>
    <t>23.794105933656425, 90.4031929253853</t>
  </si>
  <si>
    <t>nakshabid@gmail.com</t>
  </si>
  <si>
    <t>+88 01819221011, +88 02‐9845080</t>
  </si>
  <si>
    <t>www.nakshabid.com</t>
  </si>
  <si>
    <t>Ar. Bayejid Mahbub Khondker</t>
  </si>
  <si>
    <t>K‐077</t>
  </si>
  <si>
    <t>IAB-RP-O01</t>
  </si>
  <si>
    <t>OLI MAHMUD ARCHITECTS</t>
  </si>
  <si>
    <t>170‐171,Elephant Road (B‐1),Hatirpool ,Dhaka 1205</t>
  </si>
  <si>
    <t>Hatirpool</t>
  </si>
  <si>
    <t>Dhaka 1205</t>
  </si>
  <si>
    <t>23.742153336863907, 90.38505706771322</t>
  </si>
  <si>
    <t>olimahmud@gmail.com</t>
  </si>
  <si>
    <t>+88‐02‐9668945</t>
  </si>
  <si>
    <t>www.olimahmud.com</t>
  </si>
  <si>
    <t>Ar. Oli Mahmud</t>
  </si>
  <si>
    <t>M‐059</t>
  </si>
  <si>
    <t>IAB-RP-P01</t>
  </si>
  <si>
    <t>PRACHEE STHAPATI</t>
  </si>
  <si>
    <t>Room‐F‐5 (3rd Floor), 113 Lake Circus, Kalabagan, Dhaka‐1205</t>
  </si>
  <si>
    <t>23.747863570234202, 90.38162468120674</t>
  </si>
  <si>
    <t>saumenhazra@yahoo.com</t>
  </si>
  <si>
    <t>+88‐02‐9112912, +8801713065657</t>
  </si>
  <si>
    <t>www.pracheesthapati.com</t>
  </si>
  <si>
    <t>Ar. Saumen Hazra</t>
  </si>
  <si>
    <t>H‐109</t>
  </si>
  <si>
    <t>IAB-RP-P02</t>
  </si>
  <si>
    <t>PROFILE LTD</t>
  </si>
  <si>
    <t>House 18, Road 6,Gulshan‐1 , Dhaka 1213.</t>
  </si>
  <si>
    <t>23.777584059871, 90.41312788120734</t>
  </si>
  <si>
    <t>profileltd@gmail.com, info@profilelimited.com</t>
  </si>
  <si>
    <t>+88‐02‐9854672‐5,8812145,8815034,8816538 Fax: 9855153‐4</t>
  </si>
  <si>
    <t>www.profilelimited.com</t>
  </si>
  <si>
    <t>Ar. Md. Abdus Salam</t>
  </si>
  <si>
    <t>S‐047</t>
  </si>
  <si>
    <t>IAB-RP-P03</t>
  </si>
  <si>
    <t>PROKALPA UPODESHTA LTD</t>
  </si>
  <si>
    <t>House 2/16 (5th &amp; 6th Fl), Block B, Lalmatia, Dhaka‐1207.</t>
  </si>
  <si>
    <t>23.757553849031993, 90.3707603677135</t>
  </si>
  <si>
    <t>info@pulbd.com</t>
  </si>
  <si>
    <t>+88‐02‐9117689, 9126909</t>
  </si>
  <si>
    <t>www.pulbd.com</t>
  </si>
  <si>
    <t>Ar. Shahidul Hasan Azad, Ar. Ferdous Ahmed, Ar. Yeafesh Osman</t>
  </si>
  <si>
    <t>H‐045, A‐038, O‐001</t>
  </si>
  <si>
    <t>IAB-RP-P04</t>
  </si>
  <si>
    <t>PRONAYON</t>
  </si>
  <si>
    <t>Comm.Court(3rd Floor), 95 Agrabad C/A, Chittagong</t>
  </si>
  <si>
    <t>Double Mooring</t>
  </si>
  <si>
    <t>Chittagong-4100</t>
  </si>
  <si>
    <t>22.326394070750105, 91.81480666768455</t>
  </si>
  <si>
    <t>pronayon@capcobd.com , shakoor_sohail@yahoo.com</t>
  </si>
  <si>
    <t>031‐716066</t>
  </si>
  <si>
    <t>Website: www.pronayon.com</t>
  </si>
  <si>
    <t>Ar. Sohail M Shakoor</t>
  </si>
  <si>
    <t>S‐021</t>
  </si>
  <si>
    <t>IAB-RP-R01</t>
  </si>
  <si>
    <t>REGIONAL ARCHITECTS</t>
  </si>
  <si>
    <t>House 112, Road‐06, Mohakhali, New DOHS, Dhaka‐1206</t>
  </si>
  <si>
    <t>23.783333746407898, 90.39369157889188</t>
  </si>
  <si>
    <t>regional_architects@yahoo.com</t>
  </si>
  <si>
    <t>Ar. Jalal Uddin Md. Akbar, Ar. Md. Mobinul Alam</t>
  </si>
  <si>
    <t>A‐128, A‐116</t>
  </si>
  <si>
    <t>IAB-RP-R02</t>
  </si>
  <si>
    <t>RIDDHI ARCHITECTS</t>
  </si>
  <si>
    <t>8/44 Eastern Plaza (7th Floor), Sonargaon Road, Dhaka‐1205</t>
  </si>
  <si>
    <t>23.743880868012788, 90.39184570017123</t>
  </si>
  <si>
    <t>riddhi.arch@gmail.com</t>
  </si>
  <si>
    <t>+88‐02‐8626480</t>
  </si>
  <si>
    <t>Ar. Abu Hena Md. Zia Uddin</t>
  </si>
  <si>
    <t>U‐005</t>
  </si>
  <si>
    <t>Proprietor &amp; Managing Partner</t>
  </si>
  <si>
    <t>IAB-RP-R03</t>
  </si>
  <si>
    <t>RIVNAT ARCHITECTS</t>
  </si>
  <si>
    <t>56, Lake Circus, Kalabagan (2nd floor), West Panthapath, Dhaka‐1205</t>
  </si>
  <si>
    <t>23.737727715210102, 90.36645049368163</t>
  </si>
  <si>
    <t>rivnat360@gmail.com</t>
  </si>
  <si>
    <t>+88‐02‐9127032</t>
  </si>
  <si>
    <t>Ar. Shakhawat Tanvir Hossain</t>
  </si>
  <si>
    <t>H‐107</t>
  </si>
  <si>
    <t>IAB-RP-R04</t>
  </si>
  <si>
    <t>RACHONA CONSULTANTS</t>
  </si>
  <si>
    <t>House‐44 (2nd Floor), Road‐15, Block‐D, Banani, Dhaka‐1213</t>
  </si>
  <si>
    <t>23.804086204718967, 90.42176709470135</t>
  </si>
  <si>
    <t>rachona@gmail.com</t>
  </si>
  <si>
    <t>+88‐02‐9820896, +8801713017973</t>
  </si>
  <si>
    <t>Ar. Riad Rouf</t>
  </si>
  <si>
    <t>R‐061</t>
  </si>
  <si>
    <t>IAB-RP-R05</t>
  </si>
  <si>
    <t>REINCARNATION</t>
  </si>
  <si>
    <t>Apt‐5, House‐3, Road‐7, Block‐C, Niketon, Gulshan‐1, Dhaka‐1212</t>
  </si>
  <si>
    <t>23.773015785622245, 90.41364433887831</t>
  </si>
  <si>
    <t>reincarnationbd@yahoo.com</t>
  </si>
  <si>
    <t>+88‐02‐9854352</t>
  </si>
  <si>
    <t>www.reincarnation‐bd.com</t>
  </si>
  <si>
    <t>Ar. Khandoker Abdal Hossain</t>
  </si>
  <si>
    <t>H‐133</t>
  </si>
  <si>
    <t>Principal Architect &amp; Partner</t>
  </si>
  <si>
    <t>IAB-RP-R06</t>
  </si>
  <si>
    <t>ROOFLINERS_STUDIO OF ARCHITECTURE</t>
  </si>
  <si>
    <t>Flat‐C1, House‐277, Road‐01, Baitul Aman Housing Society, Adabor, Mohammadpur, Dhaka‐1207</t>
  </si>
  <si>
    <t>23.761512504728863, 90.37118508120709</t>
  </si>
  <si>
    <t>contact@roofliners.org, roofliners.bd@gmail.com</t>
  </si>
  <si>
    <t>+8801706602332, +8801815007774</t>
  </si>
  <si>
    <t>Ar. Sarawat Iqbal, Ar. Monon‐Bin‐Yunus</t>
  </si>
  <si>
    <t>I‐091, AY‐013</t>
  </si>
  <si>
    <t>Architect Partner, Architect Partner</t>
  </si>
  <si>
    <t>IAB-RP-R07</t>
  </si>
  <si>
    <t>ROSEBUD CONSULTANTS LTD</t>
  </si>
  <si>
    <t>14, Bijoy Nagar, 3rd Floor, Dhaka‐1000</t>
  </si>
  <si>
    <t>Badda</t>
  </si>
  <si>
    <t>23.737320923256807, 90.41142426013758</t>
  </si>
  <si>
    <t>rosebudcon@gmail.com</t>
  </si>
  <si>
    <t>+88‐02‐9334169, +88‐02‐9354491</t>
  </si>
  <si>
    <t>Ar. A.K.M. Quamrul Hasan</t>
  </si>
  <si>
    <t>H‐071</t>
  </si>
  <si>
    <t>IAB-RP-R08</t>
  </si>
  <si>
    <t>River &amp; Rain Ltd.</t>
  </si>
  <si>
    <t>H‐100B, Road‐6A, Banani DOHS, Banani, Dhaka‐1206</t>
  </si>
  <si>
    <t>23.856700604477798, 90.41728047745605</t>
  </si>
  <si>
    <t>riverandraininfo@gmail.com</t>
  </si>
  <si>
    <t>+88 01734017695 +88 01746506316</t>
  </si>
  <si>
    <t>www.riverandrain.net</t>
  </si>
  <si>
    <t>Ar. Kazi Fida Islam</t>
  </si>
  <si>
    <t>I‐060</t>
  </si>
  <si>
    <t>IAB-RP-S01</t>
  </si>
  <si>
    <t>SAIUJ CONSULTANTS</t>
  </si>
  <si>
    <t>539, Baitul Aman Housing Society, Road‐12, P.S. Adabor, P.O.‐Mohammedpur, Dhaka‐1207</t>
  </si>
  <si>
    <t>23.859665264501636, 90.4258315110809</t>
  </si>
  <si>
    <t>saiuj_con@yahoo.com</t>
  </si>
  <si>
    <t>+88‐02‐8190746</t>
  </si>
  <si>
    <t>Ar.Mirza Shahper Jalil, Ar. Hasan Mahmud, Ar. Umme Farzana Zarif</t>
  </si>
  <si>
    <t>J‐019, H‐090, CZ‐001</t>
  </si>
  <si>
    <t>Managing Director, Director, Director</t>
  </si>
  <si>
    <t>IAB-RP-S02</t>
  </si>
  <si>
    <t>Scenic Design &amp; Consultant</t>
  </si>
  <si>
    <t>Fortune Villa, 16/10 Rankin St, Dhaka 1203</t>
  </si>
  <si>
    <t>Wari</t>
  </si>
  <si>
    <t>Dhaka‐1203</t>
  </si>
  <si>
    <t>23.721517097525112, 90.41727974497192</t>
  </si>
  <si>
    <t>scenicbd@gmail.com</t>
  </si>
  <si>
    <t>Ar. Mohammad Fazlul Quader</t>
  </si>
  <si>
    <t>Q‐004</t>
  </si>
  <si>
    <t>IAB-RP-S03</t>
  </si>
  <si>
    <t>SHANGBIT</t>
  </si>
  <si>
    <t>House‐60/A, Road‐7/A, Dhanmondi, Dhaka</t>
  </si>
  <si>
    <t>23.745672189887507, 90.37615633702909</t>
  </si>
  <si>
    <t>shangbit.architects@gmail.com</t>
  </si>
  <si>
    <t>Ar. Abu Sayem Mohammad Rahmatullah, Ar. Tahmina Rumi</t>
  </si>
  <si>
    <t>R‐083, R‐105</t>
  </si>
  <si>
    <t>Vista Architects &amp; Engineers Ltd</t>
  </si>
  <si>
    <t>House 516, 3 Lane - 10, Dhaka 1206</t>
  </si>
  <si>
    <t>23.812032392997008, 90.41197350464108</t>
  </si>
  <si>
    <t>shelterarchitect32@yahoo.com</t>
  </si>
  <si>
    <t>+88‐02‐9358428, 8333384</t>
  </si>
  <si>
    <t>Ar. Mukhtar Ahmed</t>
  </si>
  <si>
    <t>A‐023</t>
  </si>
  <si>
    <t>IAB-RP-S04</t>
  </si>
  <si>
    <t>SILT</t>
  </si>
  <si>
    <t>Flat 2A, House 93, Road 6/C, Dhaka 1212</t>
  </si>
  <si>
    <t>23.796367230067265, 90.39950680819462</t>
  </si>
  <si>
    <t>silt.bd@gmail.com, silt@silt.com.bd</t>
  </si>
  <si>
    <t>+88‐02‐9892062</t>
  </si>
  <si>
    <t>www.silt.com.bd</t>
  </si>
  <si>
    <t>Ar.Razib Hassan Chowdhury</t>
  </si>
  <si>
    <t>C‐0048</t>
  </si>
  <si>
    <t>IAB-RP-S05</t>
  </si>
  <si>
    <t>SpaceScape Architects</t>
  </si>
  <si>
    <t>Kamal Soroni Rd, Dhaka</t>
  </si>
  <si>
    <t>Dhaka 1216</t>
  </si>
  <si>
    <t>23.78387904863481, 90.36827990742472</t>
  </si>
  <si>
    <t>arch_pintoo@yahoo.com</t>
  </si>
  <si>
    <t>+88‐02‐8918765</t>
  </si>
  <si>
    <t>Ar. Rafiul Alam</t>
  </si>
  <si>
    <t>A‐047</t>
  </si>
  <si>
    <t>Chief Executive</t>
  </si>
  <si>
    <t>IAB-RP-S06</t>
  </si>
  <si>
    <t>Srishty Architecture and Consultancy</t>
  </si>
  <si>
    <t>House- 4, Niketon Rd No 6, Dhaka 1212</t>
  </si>
  <si>
    <t>23.773655380746792, 90.40935031087645</t>
  </si>
  <si>
    <t>srishtishailee@yahoo.com</t>
  </si>
  <si>
    <t>+88‐02‐8711883, 8711884</t>
  </si>
  <si>
    <t>Ar. Mobin Uddin Mohammed Helaly</t>
  </si>
  <si>
    <t>H‐134</t>
  </si>
  <si>
    <t>Partner Architect</t>
  </si>
  <si>
    <t>IAB-RP-S07</t>
  </si>
  <si>
    <t>Parisar Upodeshta</t>
  </si>
  <si>
    <t>Flat: F2, House:15, Road: 8, Dhaka, 1205</t>
  </si>
  <si>
    <t>23.746525712487337, 90.38291011781611</t>
  </si>
  <si>
    <t>saiful.hafiz@gmail.com</t>
  </si>
  <si>
    <t>Ar. Saiful Hafiz</t>
  </si>
  <si>
    <t>H‐055</t>
  </si>
  <si>
    <t>IAB-RP-S08</t>
  </si>
  <si>
    <t>STUDIO XI ARCHITECTS</t>
  </si>
  <si>
    <t>211/1,Elephant Road, Dhaka‐1205</t>
  </si>
  <si>
    <t>23.73987879862728, 90.38968006771316</t>
  </si>
  <si>
    <t>studio_xi_architects@yahoo.com</t>
  </si>
  <si>
    <t>+88‐02‐8813992, 9889360</t>
  </si>
  <si>
    <t>Ar. Ashik Vaskor Mannan</t>
  </si>
  <si>
    <t>M‐070</t>
  </si>
  <si>
    <t>IAB-RP-S09</t>
  </si>
  <si>
    <t>STUDIO ECOTECTURE LIMITED</t>
  </si>
  <si>
    <t>Chandrashila Suvastu Tower, 69/1 Panthapath, Dhaka 1215</t>
  </si>
  <si>
    <t>23.75087470310363, 90.38767941004234</t>
  </si>
  <si>
    <t>info@studioecotecture.com</t>
  </si>
  <si>
    <t>+88‐02‐8191422</t>
  </si>
  <si>
    <t>www.studioecotecture.com</t>
  </si>
  <si>
    <t>Ar. S. M. Hasan Kabir</t>
  </si>
  <si>
    <t>K‐030</t>
  </si>
  <si>
    <t>IAB-RP-S10</t>
  </si>
  <si>
    <t>STUDIO HDA</t>
  </si>
  <si>
    <t>14/C,(Gr Floor), Road ‐02,Block‐ L, Banani , Dhaka.</t>
  </si>
  <si>
    <t>23.792019994892698, 90.40213001648083</t>
  </si>
  <si>
    <t>studiohda@gmail.com</t>
  </si>
  <si>
    <t>+88‐02‐9888123</t>
  </si>
  <si>
    <t>Ar. Mohammad Maksumul Hoque</t>
  </si>
  <si>
    <t>H‐150</t>
  </si>
  <si>
    <t>IAB-RP-S11</t>
  </si>
  <si>
    <t>STYLE LIVING ARCHITECTS LTD</t>
  </si>
  <si>
    <t>A K Trade Center, CDA Ave, Chittagong 4000</t>
  </si>
  <si>
    <t>22.368401440336484, 91.82888465419197</t>
  </si>
  <si>
    <t>chairman@stylelivingbd.com</t>
  </si>
  <si>
    <t>+8801714050222,+8801713441449</t>
  </si>
  <si>
    <t>www.stylelivingbd.com</t>
  </si>
  <si>
    <t>Ar. Md. Mizanur Rahman, Ar. Jabid Akram</t>
  </si>
  <si>
    <t>R‐097, A‐150</t>
  </si>
  <si>
    <t>IAB-RP-S12</t>
  </si>
  <si>
    <t>SYMBIOTIC ARCHITECTS &amp; ASSOCIATES</t>
  </si>
  <si>
    <t>Ground Floor, House‐78, Road‐18, Sector‐11, Uttara, Dhaka‐1230</t>
  </si>
  <si>
    <t>23.880351666000468, 90.39313881720813</t>
  </si>
  <si>
    <t>Symbiotic.aa@live.com</t>
  </si>
  <si>
    <t>+88‐02‐8991817</t>
  </si>
  <si>
    <t>Ar.Abul Bashar Md. Shamsuzzaman</t>
  </si>
  <si>
    <t>S‐027</t>
  </si>
  <si>
    <t>IAB-RP-S13</t>
  </si>
  <si>
    <t>SYNTHESIS ARCHITECTS</t>
  </si>
  <si>
    <t>House-66 Rd No 1, Dhaka 1213</t>
  </si>
  <si>
    <t>23.786077316480945, 90.4024378830562</t>
  </si>
  <si>
    <t>synthesisarchitectsbd@gmail.com, synthesis_arch@yahoo.com</t>
  </si>
  <si>
    <t>88‐02‐9124105,9124638,8141642</t>
  </si>
  <si>
    <t>Ar. Patrick D’Rozario</t>
  </si>
  <si>
    <t>R‐135</t>
  </si>
  <si>
    <t>IAB-RP-S14</t>
  </si>
  <si>
    <t>S &amp; ASSOCIATES</t>
  </si>
  <si>
    <t>44/7‐A,B, 1st Floor, Suite‐03, West Panthapoth, Dhaka</t>
  </si>
  <si>
    <t>23.75297545422945, 90.38157558538</t>
  </si>
  <si>
    <t>sabd5200@gmail.com</t>
  </si>
  <si>
    <t>Ar. Md. Raisul Rafi Shaon</t>
  </si>
  <si>
    <t>S‐089</t>
  </si>
  <si>
    <t>CEO &amp; Sr. Architect</t>
  </si>
  <si>
    <t>IAB-RP-S15</t>
  </si>
  <si>
    <t>SHATOTTO ARCHITECTURE FOR GREEN LIVING</t>
  </si>
  <si>
    <t>LEVEL 5, Baridhara Diplomatic Zone, 39 SUHRAWARDY AVENUE, Dhaka 1212</t>
  </si>
  <si>
    <t>23.804203998384995, 90.42183146771448</t>
  </si>
  <si>
    <t>shatotto@gmail.com</t>
  </si>
  <si>
    <t>+88‐02‐8119702, +8801711641175</t>
  </si>
  <si>
    <t>www.shatottogreen.com</t>
  </si>
  <si>
    <t>Ar. Md. Rafiq Azam</t>
  </si>
  <si>
    <t>A‐055</t>
  </si>
  <si>
    <t>IAB-RP-S16</t>
  </si>
  <si>
    <t>SPACE ARCHITECTS, ENGINEERS, PLANNERS</t>
  </si>
  <si>
    <t>14/23, Shahjahan Road, Adjacent to Town hall Bazar, Mohammadpur, Dhaka 1207</t>
  </si>
  <si>
    <t>Dhaka 1207</t>
  </si>
  <si>
    <t>23.76114726054804, 90.36744801686564</t>
  </si>
  <si>
    <t>fawad_hyder@yahoo.com info@spacearcht.com</t>
  </si>
  <si>
    <t>+88‐02‐9840245, +8801979873387</t>
  </si>
  <si>
    <t>www.spacearcht.com</t>
  </si>
  <si>
    <t>Ar. D.S. Fawad Hyder</t>
  </si>
  <si>
    <t>H‐056</t>
  </si>
  <si>
    <t>IAB-RP-S17</t>
  </si>
  <si>
    <t>STHAPOTIK</t>
  </si>
  <si>
    <t>House‐8/2, 1st Floor, Block‐D, Lalmatia, Dhaka</t>
  </si>
  <si>
    <t>23.75514089545323, 90.36908736771349</t>
  </si>
  <si>
    <t>sthapotik_arch@yahoo.com</t>
  </si>
  <si>
    <t>www.sthapotik.com</t>
  </si>
  <si>
    <t>Ar. Sharif Uddin Ahammed</t>
  </si>
  <si>
    <t>A‐137</t>
  </si>
  <si>
    <t>IAB-RP-S18</t>
  </si>
  <si>
    <t>STUDIO DHAKA ARCHITECTS</t>
  </si>
  <si>
    <t>44, Rabindra Sharani Road, Sector‐7, Uttara Model Town, Dhaka‐1230</t>
  </si>
  <si>
    <t>23.868605681491406, 90.3950381381719</t>
  </si>
  <si>
    <t>studio.dhaka.architects@gmail.com</t>
  </si>
  <si>
    <t>www.studiodhakaarchitects.com</t>
  </si>
  <si>
    <t>Ar. Tarek Md. Saidul Islam</t>
  </si>
  <si>
    <t>I‐081</t>
  </si>
  <si>
    <t>IAB-RP-S19</t>
  </si>
  <si>
    <t>STUDIO DHAKA LIMITED.</t>
  </si>
  <si>
    <t>House‐91/1, Road‐11/A, Dhanmondi R/A, Dhaka‐1205</t>
  </si>
  <si>
    <t>23.75003398450984, 90.37452626771334</t>
  </si>
  <si>
    <t>studiodhakaltd@gmail.com</t>
  </si>
  <si>
    <t>www.studiodhaka.com</t>
  </si>
  <si>
    <t>Ar. Muhammad Moniruzzaman</t>
  </si>
  <si>
    <t>M‐086</t>
  </si>
  <si>
    <t>IAB-RP-S20</t>
  </si>
  <si>
    <t>SYSTEM ARCHITECTS</t>
  </si>
  <si>
    <t>House‐31, [Celeste], Unit‐A2, Road‐20, Block‐K, Banani, Dhaka‐1213</t>
  </si>
  <si>
    <t>23.797056212433354, 90.40783652538538</t>
  </si>
  <si>
    <t>nirjhar@systemarchitectsbd.com</t>
  </si>
  <si>
    <t>+88‐02‐9843303, +88‐02‐9842193</t>
  </si>
  <si>
    <t>www.systemarchitectsbd.com</t>
  </si>
  <si>
    <t>Ar. Enamul Karim</t>
  </si>
  <si>
    <t>K‐058</t>
  </si>
  <si>
    <t>IAB-RP-S21</t>
  </si>
  <si>
    <t>SILVERBRICKS</t>
  </si>
  <si>
    <t>3rd Floor, IEB Bhaban, S.S Khaled Road, Chattogram</t>
  </si>
  <si>
    <t>Chattogram</t>
  </si>
  <si>
    <t>Chattogram-4000</t>
  </si>
  <si>
    <t>22.34691629567317, 91.82069156768496</t>
  </si>
  <si>
    <t>info@silverbricksbd.com</t>
  </si>
  <si>
    <t>+88‐01714084433</t>
  </si>
  <si>
    <t>Ar. Mohammad Asaduzzaman Chowdhury, Ar. Aniket Chowdhury</t>
  </si>
  <si>
    <t>C‐040, C‐066</t>
  </si>
  <si>
    <t>Managing Partner, Partner</t>
  </si>
  <si>
    <t>IAB-RP-S22</t>
  </si>
  <si>
    <t>STUDIO MORPHOGENESIS LTD.</t>
  </si>
  <si>
    <t>Suite-C, House 5, 10 Block-E, Dhaka 1207</t>
  </si>
  <si>
    <t>23.755443157943475, 90.36682522538447</t>
  </si>
  <si>
    <t>design@studiomorphogenesis.com</t>
  </si>
  <si>
    <t>+88 01723819678 +88 02 9858862</t>
  </si>
  <si>
    <t>www.studiomorphogenesis.com</t>
  </si>
  <si>
    <t>Ar. Shahla Karim Kabir, Ar. Minhaz Bin Gaffar</t>
  </si>
  <si>
    <t>K‐050, G‐009</t>
  </si>
  <si>
    <t>IAB-RP-T01</t>
  </si>
  <si>
    <t>THE DESIGNERS</t>
  </si>
  <si>
    <t>3/1 (1st Floor, Block#D, Dhaka 1216</t>
  </si>
  <si>
    <t>23.753217245237515, 90.36826109918113</t>
  </si>
  <si>
    <t>malikshaheen@yahoo.com</t>
  </si>
  <si>
    <t>+88‐02‐9850798</t>
  </si>
  <si>
    <t>Ar. Shaheen Malik</t>
  </si>
  <si>
    <t>M‐009</t>
  </si>
  <si>
    <t>IAB-RP-T02</t>
  </si>
  <si>
    <t>TRIANGLE CONSULTANTS</t>
  </si>
  <si>
    <t>Road-10, House- 413, Dhaka 1215</t>
  </si>
  <si>
    <t>23.778040170548103, 90.39531871396626</t>
  </si>
  <si>
    <t>shakoormajid@yahoo.com</t>
  </si>
  <si>
    <t>+88‐02‐8812109‐10</t>
  </si>
  <si>
    <t>Ar. Shakoor Majid</t>
  </si>
  <si>
    <t>M‐031</t>
  </si>
  <si>
    <t>IAB-RP-T03</t>
  </si>
  <si>
    <t>TANYA KARIM N.R. KHAN &amp; ASSOCIATES (TKNRK)</t>
  </si>
  <si>
    <t>Laboni‐2, Flat‐B1 &amp; C1, House‐24, Road‐9/A, Dhanmond R/A, Dhaka‐1209</t>
  </si>
  <si>
    <t>23.74710011050716, 90.37520889839747</t>
  </si>
  <si>
    <t>mail@tknrk.com</t>
  </si>
  <si>
    <t>+88‐02‐58156547, +88‐02‐9142487</t>
  </si>
  <si>
    <t>www.tknrk.com</t>
  </si>
  <si>
    <t>Ar. Nurur Rahman Khan, Ar. Tanya Tazeen Karim</t>
  </si>
  <si>
    <t>K‐049, K‐051</t>
  </si>
  <si>
    <t>IAB-RP-T04</t>
  </si>
  <si>
    <t>TARIQUE HASAN &amp; ASSOCIATES LTD.</t>
  </si>
  <si>
    <t>House‐31, Road‐06, Block‐C, Banani, Dhaka‐1213</t>
  </si>
  <si>
    <t>23.793013688379688, 90.40269828120769</t>
  </si>
  <si>
    <t>tarique.37@gmail.com</t>
  </si>
  <si>
    <t>+88‐02‐9896337, +88‐02‐9882504</t>
  </si>
  <si>
    <t>www.thalbd.com</t>
  </si>
  <si>
    <t>Ar. Tarique Hasan</t>
  </si>
  <si>
    <t>H‐097</t>
  </si>
  <si>
    <t>IAB-RP-T05</t>
  </si>
  <si>
    <t>TRIOTECT &amp; ASSOCIATES LTD.</t>
  </si>
  <si>
    <t>25/2, Rani Garh (2nd Floor), Lake Circus, Kalabagan, Dhaka‐1205</t>
  </si>
  <si>
    <t>23.751983080833483, 90.38296718120681</t>
  </si>
  <si>
    <t>info@triotect.com.bd</t>
  </si>
  <si>
    <t>+8801777768366, +8801777768367</t>
  </si>
  <si>
    <t>www.triotect.com.bd</t>
  </si>
  <si>
    <t>Ar. Md. Tareq Abdullah, Ar. Khondoker Arif Uzzaman</t>
  </si>
  <si>
    <t>A‐236, AU‐019</t>
  </si>
  <si>
    <t>Director, Managing Director</t>
  </si>
  <si>
    <t>IAB-RP-U01</t>
  </si>
  <si>
    <t>UNITED CONSULTANT (Trendy Group)</t>
  </si>
  <si>
    <t>House‐211, (2nd &amp; 3rd), Lane‐13, Lake Road, New DOHS, Mohakhali, Dhaka‐1206</t>
  </si>
  <si>
    <t>23.785653296043407, 90.39673070867582</t>
  </si>
  <si>
    <t>mail.awpl@yahoo.com</t>
  </si>
  <si>
    <t>+88‐02‐9849303, +88‐02‐9849317</t>
  </si>
  <si>
    <t>Ar. Md. Maruf Hossain Khan</t>
  </si>
  <si>
    <t>K‐073</t>
  </si>
  <si>
    <t>IAB-RP-U02</t>
  </si>
  <si>
    <t>URBANA</t>
  </si>
  <si>
    <t>House‐56, Road‐5/A, Dhanmondi, Dhaka‐1209</t>
  </si>
  <si>
    <t>23.74431070001892, 90.37666801253967</t>
  </si>
  <si>
    <t>urbana.communications@gmail.com</t>
  </si>
  <si>
    <t>+88‐02‐9671500, +88‐02‐9671515</t>
  </si>
  <si>
    <t>Ar. Mahboob‐E‐Sobhan Chowdhury</t>
  </si>
  <si>
    <t>C‐025</t>
  </si>
  <si>
    <t>IAB-RP-V01</t>
  </si>
  <si>
    <t>VASTUVITA ARCHITECTS</t>
  </si>
  <si>
    <t>Amelia, Suite:A6, House‐71, Road‐17, Sector‐11, Uttara, Dhaka‐1230</t>
  </si>
  <si>
    <t>23.876132981843362, 90.38612352353837</t>
  </si>
  <si>
    <t>vita_arc@yahoo.com</t>
  </si>
  <si>
    <t>+88‐01678016706</t>
  </si>
  <si>
    <t>Ar. Amit Kumar Saha, Ar. Faisal Ishtiaq Alam, Ar. Dipozzwal Sen</t>
  </si>
  <si>
    <t>S‐077, A‐151, S‐090</t>
  </si>
  <si>
    <t>Partner, Partner, Partner</t>
  </si>
  <si>
    <t>IAB-RP-V02</t>
  </si>
  <si>
    <t>VENNA ARCHITECTS</t>
  </si>
  <si>
    <t>Level‐05, A K Complex, 19‐Green Road, Dhaka‐1205</t>
  </si>
  <si>
    <t>23.743790254859217, 90.3845571100422</t>
  </si>
  <si>
    <t>architects.venna@gmail.com, architect.asif@gmail.com</t>
  </si>
  <si>
    <t>+88‐02‐ 8625835</t>
  </si>
  <si>
    <t>Ar.Asif Mohammed Ahsanul Haq, Ar. Arifa Akhter</t>
  </si>
  <si>
    <t>H‐117, A‐120</t>
  </si>
  <si>
    <t>IAB-RP-V03</t>
  </si>
  <si>
    <t>VISTAARA ARCHITECTS PVT. LTD</t>
  </si>
  <si>
    <t>Delvistaa Ruparup, Apt‐D1 &amp; B1, SE(H)6, Road‐143, Gulshan Model Town, Gulshan, Dhaka‐1212.</t>
  </si>
  <si>
    <t>23.774952137489247, 90.41715825606909</t>
  </si>
  <si>
    <t>info@delvistaa.com</t>
  </si>
  <si>
    <t>+88‐02‐55044873, +88‐02‐55044874, +88‐02‐55044875</t>
  </si>
  <si>
    <t>Ar. Khan Mohammed Mustapha Khalid, Ar. Shahzia Islam</t>
  </si>
  <si>
    <t>K‐037, I‐023</t>
  </si>
  <si>
    <t>IAB-RP-V04</t>
  </si>
  <si>
    <t>VOLUMEZERO LIMITED</t>
  </si>
  <si>
    <t>House‐135, Road‐04, Block‐A, Banani , Dhaka 1213.</t>
  </si>
  <si>
    <t>23.798522843225072, 90.4023268523723</t>
  </si>
  <si>
    <t>foyez@volumezeroltd.com</t>
  </si>
  <si>
    <t>+88‐02‐55035669, +88‐02‐55035670, +88‐02‐55035671</t>
  </si>
  <si>
    <t>www.volumezeroltd.com</t>
  </si>
  <si>
    <t>Ar. Mohammad Foyez Ullah</t>
  </si>
  <si>
    <t>U‐008</t>
  </si>
  <si>
    <t>IAB-RP-V05</t>
  </si>
  <si>
    <t>VUU‐MAATRA CONSULTANTS</t>
  </si>
  <si>
    <t>House ‐22, Road ‐12, Block‐F, Niketon Socoety, Gulshan‐1, Dhaka 1206.</t>
  </si>
  <si>
    <t>23.764971369953926, 90.44606278606702</t>
  </si>
  <si>
    <t>info@vuumaatra.com ziaul.sharif@gmail.com</t>
  </si>
  <si>
    <t>+88‐02‐58812326, +8801796585535</t>
  </si>
  <si>
    <t>Ar. Mohammed Ziaul Sharif</t>
  </si>
  <si>
    <t>S‐094</t>
  </si>
  <si>
    <t>IAB-RP-V06</t>
  </si>
  <si>
    <t>VISTA ARCHITECTURAL CONSULTANT</t>
  </si>
  <si>
    <t>House‐67/2/KA, Flat‐E/2, Zigatola, Dhaka‐1209</t>
  </si>
  <si>
    <t>23.75241535965368, 90.36811958120681</t>
  </si>
  <si>
    <t>dsarif14@yahoo.com, dsarifoffice@gmail.com</t>
  </si>
  <si>
    <t>+88‐01971566019</t>
  </si>
  <si>
    <t>Ar. Dewan Shamsul Arif</t>
  </si>
  <si>
    <t>A‐079</t>
  </si>
  <si>
    <t>IAB-RP-V07</t>
  </si>
  <si>
    <t>VITTI STHAPATI BRINDO LTD</t>
  </si>
  <si>
    <t>27/A, Level‐6&amp;7, Shangshad Avenue, Dhaka‐1215</t>
  </si>
  <si>
    <t>23.760957783321224, 90.38381139470047</t>
  </si>
  <si>
    <t>vittibd@gmail.com</t>
  </si>
  <si>
    <t>+88 01912888015 +88 02‐8143471</t>
  </si>
  <si>
    <t>www.vitti.com.bd</t>
  </si>
  <si>
    <t>Ar. Md. Ishtiaque Zahir, Ar. Md. Iqbal Habib</t>
  </si>
  <si>
    <t>Z‐011, H‐075</t>
  </si>
  <si>
    <t>IAB-RP-W01</t>
  </si>
  <si>
    <t>4 WALLS INSIDE OUTSIDE</t>
  </si>
  <si>
    <t>House‐246, Road‐19, New DOHS, Mohakhali, Dhaka‐1206</t>
  </si>
  <si>
    <t>23.78457659117107, 90.39361901928703</t>
  </si>
  <si>
    <t>wahidasif@gmaii.com</t>
  </si>
  <si>
    <t>+88 01711433431 +88 02‐9890003</t>
  </si>
  <si>
    <t>www.4wallsbd.com</t>
  </si>
  <si>
    <t>Ar. M. Wahid Asif</t>
  </si>
  <si>
    <t>A‐117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</si>
</sst>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181818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B5A6-2FD2-4093-B132-B605B691EDE9}">
  <dimension ref="A1:AL1284"/>
  <sheetViews>
    <sheetView tabSelected="1" workbookViewId="0">
      <selection activeCell="W1" sqref="W1:W1048576"/>
    </sheetView>
  </sheetViews>
  <sheetFormatPr defaultRowHeight="15"/>
  <cols>
    <col min="1" max="1" width="4.85546875" bestFit="1" customWidth="1"/>
    <col min="2" max="2" width="11.5703125" bestFit="1" customWidth="1"/>
    <col min="3" max="3" width="18.85546875" customWidth="1"/>
    <col min="4" max="4" width="8.42578125" bestFit="1" customWidth="1"/>
    <col min="5" max="5" width="20" customWidth="1"/>
    <col min="6" max="6" width="14.140625" customWidth="1"/>
    <col min="7" max="7" width="10.28515625" bestFit="1" customWidth="1"/>
    <col min="8" max="8" width="9.5703125" bestFit="1" customWidth="1"/>
    <col min="9" max="9" width="17.28515625" bestFit="1" customWidth="1"/>
    <col min="10" max="10" width="10.5703125" bestFit="1" customWidth="1"/>
    <col min="12" max="12" width="11.42578125" customWidth="1"/>
    <col min="13" max="13" width="19" bestFit="1" customWidth="1"/>
    <col min="14" max="14" width="20.7109375" customWidth="1"/>
    <col min="15" max="15" width="19.7109375" bestFit="1" customWidth="1"/>
    <col min="16" max="16" width="17.85546875" customWidth="1"/>
    <col min="17" max="17" width="10.28515625" bestFit="1" customWidth="1"/>
    <col min="18" max="18" width="25.7109375" customWidth="1"/>
    <col min="20" max="20" width="18.85546875" bestFit="1" customWidth="1"/>
    <col min="21" max="21" width="14.5703125" bestFit="1" customWidth="1"/>
    <col min="22" max="22" width="13.85546875" bestFit="1" customWidth="1"/>
    <col min="23" max="23" width="6.7109375" bestFit="1" customWidth="1"/>
  </cols>
  <sheetData>
    <row r="1" spans="1:38" ht="32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78" thickBot="1">
      <c r="A2" s="4">
        <v>1</v>
      </c>
      <c r="B2" s="4" t="s">
        <v>23</v>
      </c>
      <c r="C2" s="4" t="s">
        <v>24</v>
      </c>
      <c r="D2" s="3"/>
      <c r="E2" s="3"/>
      <c r="F2" s="4" t="s">
        <v>25</v>
      </c>
      <c r="G2" s="4">
        <v>1996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5" t="s">
        <v>33</v>
      </c>
      <c r="P2" s="6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>
        <v>3</v>
      </c>
      <c r="V2" s="4">
        <v>2</v>
      </c>
      <c r="W2" s="4">
        <v>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52.5" thickBot="1">
      <c r="A3" s="4">
        <v>2</v>
      </c>
      <c r="B3" s="4" t="s">
        <v>39</v>
      </c>
      <c r="C3" s="4" t="s">
        <v>40</v>
      </c>
      <c r="D3" s="3"/>
      <c r="E3" s="3"/>
      <c r="F3" s="4" t="s">
        <v>25</v>
      </c>
      <c r="G3" s="4">
        <v>2005</v>
      </c>
      <c r="H3" s="4" t="s">
        <v>41</v>
      </c>
      <c r="I3" s="4" t="s">
        <v>42</v>
      </c>
      <c r="J3" s="4" t="s">
        <v>28</v>
      </c>
      <c r="K3" s="4" t="s">
        <v>43</v>
      </c>
      <c r="L3" s="4" t="s">
        <v>44</v>
      </c>
      <c r="M3" s="4" t="s">
        <v>45</v>
      </c>
      <c r="N3" s="4" t="s">
        <v>46</v>
      </c>
      <c r="O3" s="4">
        <f>88-2-8950536</f>
        <v>-8950450</v>
      </c>
      <c r="P3" s="3"/>
      <c r="Q3" s="4" t="s">
        <v>25</v>
      </c>
      <c r="R3" s="4" t="s">
        <v>47</v>
      </c>
      <c r="S3" s="4" t="s">
        <v>48</v>
      </c>
      <c r="T3" s="4" t="s">
        <v>49</v>
      </c>
      <c r="U3" s="4">
        <v>4</v>
      </c>
      <c r="V3" s="4">
        <v>1</v>
      </c>
      <c r="W3" s="4">
        <v>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39.75" thickBot="1">
      <c r="A4" s="4">
        <v>3</v>
      </c>
      <c r="B4" s="4" t="s">
        <v>50</v>
      </c>
      <c r="C4" s="4" t="s">
        <v>51</v>
      </c>
      <c r="D4" s="4">
        <v>5</v>
      </c>
      <c r="E4" s="4">
        <v>1</v>
      </c>
      <c r="F4" s="4" t="s">
        <v>35</v>
      </c>
      <c r="G4" s="4">
        <v>2008</v>
      </c>
      <c r="H4" s="4" t="s">
        <v>41</v>
      </c>
      <c r="I4" s="4" t="s">
        <v>52</v>
      </c>
      <c r="J4" s="4" t="s">
        <v>28</v>
      </c>
      <c r="K4" s="4" t="s">
        <v>53</v>
      </c>
      <c r="L4" s="4" t="s">
        <v>54</v>
      </c>
      <c r="M4" s="4" t="s">
        <v>55</v>
      </c>
      <c r="N4" s="4" t="s">
        <v>56</v>
      </c>
      <c r="O4" s="4">
        <f>88-2-9111557</f>
        <v>-9111471</v>
      </c>
      <c r="P4" s="4" t="s">
        <v>57</v>
      </c>
      <c r="Q4" s="4" t="s">
        <v>35</v>
      </c>
      <c r="R4" s="4" t="s">
        <v>58</v>
      </c>
      <c r="S4" s="4" t="s">
        <v>59</v>
      </c>
      <c r="T4" s="4" t="s">
        <v>60</v>
      </c>
      <c r="U4" s="4">
        <v>1</v>
      </c>
      <c r="V4" s="4">
        <v>7</v>
      </c>
      <c r="W4" s="4">
        <v>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52.5" thickBot="1">
      <c r="A5" s="4">
        <v>4</v>
      </c>
      <c r="B5" s="4" t="s">
        <v>61</v>
      </c>
      <c r="C5" s="4" t="s">
        <v>62</v>
      </c>
      <c r="D5" s="4">
        <v>5</v>
      </c>
      <c r="E5" s="4">
        <v>15</v>
      </c>
      <c r="F5" s="4" t="s">
        <v>35</v>
      </c>
      <c r="G5" s="4">
        <v>2006</v>
      </c>
      <c r="H5" s="4" t="s">
        <v>41</v>
      </c>
      <c r="I5" s="4" t="s">
        <v>63</v>
      </c>
      <c r="J5" s="4" t="s">
        <v>28</v>
      </c>
      <c r="K5" s="4" t="s">
        <v>64</v>
      </c>
      <c r="L5" s="4" t="s">
        <v>65</v>
      </c>
      <c r="M5" s="4" t="s">
        <v>66</v>
      </c>
      <c r="N5" s="4" t="s">
        <v>67</v>
      </c>
      <c r="O5" s="4">
        <f>88-2-8837313</f>
        <v>-8837227</v>
      </c>
      <c r="P5" s="3"/>
      <c r="Q5" s="4" t="s">
        <v>25</v>
      </c>
      <c r="R5" s="4" t="s">
        <v>68</v>
      </c>
      <c r="S5" s="4" t="s">
        <v>69</v>
      </c>
      <c r="T5" s="4" t="s">
        <v>49</v>
      </c>
      <c r="U5" s="4">
        <v>1</v>
      </c>
      <c r="V5" s="4">
        <v>3</v>
      </c>
      <c r="W5" s="4">
        <v>4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65.25" thickBot="1">
      <c r="A6" s="4">
        <v>5</v>
      </c>
      <c r="B6" s="4" t="s">
        <v>70</v>
      </c>
      <c r="C6" s="4" t="s">
        <v>71</v>
      </c>
      <c r="D6" s="4">
        <v>5</v>
      </c>
      <c r="E6" s="4">
        <v>1</v>
      </c>
      <c r="F6" s="4" t="s">
        <v>35</v>
      </c>
      <c r="G6" s="4">
        <v>1982</v>
      </c>
      <c r="H6" s="4" t="s">
        <v>72</v>
      </c>
      <c r="I6" s="4" t="s">
        <v>73</v>
      </c>
      <c r="J6" s="4" t="s">
        <v>28</v>
      </c>
      <c r="K6" s="4" t="s">
        <v>74</v>
      </c>
      <c r="L6" s="4" t="s">
        <v>75</v>
      </c>
      <c r="M6" s="4" t="s">
        <v>76</v>
      </c>
      <c r="N6" s="4" t="s">
        <v>77</v>
      </c>
      <c r="O6" s="4">
        <f>88-2-8117462</f>
        <v>-8117376</v>
      </c>
      <c r="P6" s="3"/>
      <c r="Q6" s="4" t="s">
        <v>25</v>
      </c>
      <c r="R6" s="4" t="s">
        <v>78</v>
      </c>
      <c r="S6" s="4" t="s">
        <v>79</v>
      </c>
      <c r="T6" s="4" t="s">
        <v>49</v>
      </c>
      <c r="U6" s="4">
        <v>5</v>
      </c>
      <c r="V6" s="4">
        <v>3</v>
      </c>
      <c r="W6" s="4">
        <v>8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27" thickBot="1">
      <c r="A7" s="4">
        <v>6</v>
      </c>
      <c r="B7" s="4" t="s">
        <v>80</v>
      </c>
      <c r="C7" s="4" t="s">
        <v>81</v>
      </c>
      <c r="D7" s="3"/>
      <c r="E7" s="3"/>
      <c r="F7" s="4" t="s">
        <v>25</v>
      </c>
      <c r="G7" s="4">
        <v>2012</v>
      </c>
      <c r="H7" s="4" t="s">
        <v>82</v>
      </c>
      <c r="I7" s="4" t="s">
        <v>83</v>
      </c>
      <c r="J7" s="4" t="s">
        <v>28</v>
      </c>
      <c r="K7" s="4" t="s">
        <v>64</v>
      </c>
      <c r="L7" s="4" t="s">
        <v>84</v>
      </c>
      <c r="M7" s="4" t="s">
        <v>85</v>
      </c>
      <c r="N7" s="4" t="s">
        <v>86</v>
      </c>
      <c r="O7" s="4" t="s">
        <v>87</v>
      </c>
      <c r="P7" s="3"/>
      <c r="Q7" s="4" t="s">
        <v>25</v>
      </c>
      <c r="R7" s="4" t="s">
        <v>88</v>
      </c>
      <c r="S7" s="4" t="s">
        <v>89</v>
      </c>
      <c r="T7" s="4" t="s">
        <v>90</v>
      </c>
      <c r="U7" s="4">
        <v>3</v>
      </c>
      <c r="V7" s="4">
        <v>2</v>
      </c>
      <c r="W7" s="4">
        <v>5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52.5" thickBot="1">
      <c r="A8" s="4">
        <v>7</v>
      </c>
      <c r="B8" s="4" t="s">
        <v>91</v>
      </c>
      <c r="C8" s="4" t="s">
        <v>92</v>
      </c>
      <c r="D8" s="4">
        <v>4.8</v>
      </c>
      <c r="E8" s="4">
        <v>29</v>
      </c>
      <c r="F8" s="4" t="s">
        <v>35</v>
      </c>
      <c r="G8" s="4">
        <v>2012</v>
      </c>
      <c r="H8" s="4" t="s">
        <v>82</v>
      </c>
      <c r="I8" s="4" t="s">
        <v>93</v>
      </c>
      <c r="J8" s="4" t="s">
        <v>28</v>
      </c>
      <c r="K8" s="4" t="s">
        <v>94</v>
      </c>
      <c r="L8" s="4" t="s">
        <v>75</v>
      </c>
      <c r="M8" s="4" t="s">
        <v>95</v>
      </c>
      <c r="N8" s="4" t="s">
        <v>96</v>
      </c>
      <c r="O8" s="4">
        <f>88-2-9138516</f>
        <v>-9138430</v>
      </c>
      <c r="P8" s="4" t="s">
        <v>97</v>
      </c>
      <c r="Q8" s="4" t="s">
        <v>35</v>
      </c>
      <c r="R8" s="4" t="s">
        <v>98</v>
      </c>
      <c r="S8" s="4" t="s">
        <v>99</v>
      </c>
      <c r="T8" s="4" t="s">
        <v>100</v>
      </c>
      <c r="U8" s="4">
        <v>6</v>
      </c>
      <c r="V8" s="4">
        <v>3</v>
      </c>
      <c r="W8" s="4">
        <v>9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27" thickBot="1">
      <c r="A9" s="4">
        <v>8</v>
      </c>
      <c r="B9" s="4" t="s">
        <v>101</v>
      </c>
      <c r="C9" s="4" t="s">
        <v>102</v>
      </c>
      <c r="D9" s="3"/>
      <c r="E9" s="3"/>
      <c r="F9" s="4" t="s">
        <v>25</v>
      </c>
      <c r="G9" s="4">
        <v>2010</v>
      </c>
      <c r="H9" s="4" t="s">
        <v>82</v>
      </c>
      <c r="I9" s="4" t="s">
        <v>103</v>
      </c>
      <c r="J9" s="4" t="s">
        <v>28</v>
      </c>
      <c r="K9" s="4" t="s">
        <v>104</v>
      </c>
      <c r="L9" s="4" t="s">
        <v>105</v>
      </c>
      <c r="M9" s="4" t="s">
        <v>106</v>
      </c>
      <c r="N9" s="4" t="s">
        <v>107</v>
      </c>
      <c r="O9" s="4" t="s">
        <v>108</v>
      </c>
      <c r="P9" s="3"/>
      <c r="Q9" s="4" t="s">
        <v>25</v>
      </c>
      <c r="R9" s="4" t="s">
        <v>109</v>
      </c>
      <c r="S9" s="4" t="s">
        <v>110</v>
      </c>
      <c r="T9" s="4" t="s">
        <v>111</v>
      </c>
      <c r="U9" s="4">
        <v>4</v>
      </c>
      <c r="V9" s="4">
        <v>1</v>
      </c>
      <c r="W9" s="4">
        <v>5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52.5" thickBot="1">
      <c r="A10" s="4">
        <v>9</v>
      </c>
      <c r="B10" s="4" t="s">
        <v>112</v>
      </c>
      <c r="C10" s="4" t="s">
        <v>113</v>
      </c>
      <c r="D10" s="4">
        <v>4.5999999999999996</v>
      </c>
      <c r="E10" s="4">
        <v>22</v>
      </c>
      <c r="F10" s="4" t="s">
        <v>35</v>
      </c>
      <c r="G10" s="4">
        <v>1998</v>
      </c>
      <c r="H10" s="4" t="s">
        <v>26</v>
      </c>
      <c r="I10" s="4" t="s">
        <v>114</v>
      </c>
      <c r="J10" s="4" t="s">
        <v>28</v>
      </c>
      <c r="K10" s="4" t="s">
        <v>104</v>
      </c>
      <c r="L10" s="4" t="s">
        <v>105</v>
      </c>
      <c r="M10" s="4" t="s">
        <v>115</v>
      </c>
      <c r="N10" s="4" t="s">
        <v>116</v>
      </c>
      <c r="O10" s="4">
        <f>88-2-8125830</f>
        <v>-8125744</v>
      </c>
      <c r="P10" s="3"/>
      <c r="Q10" s="4" t="s">
        <v>25</v>
      </c>
      <c r="R10" s="4" t="s">
        <v>117</v>
      </c>
      <c r="S10" s="4" t="s">
        <v>118</v>
      </c>
      <c r="T10" s="4" t="s">
        <v>38</v>
      </c>
      <c r="U10" s="4">
        <v>1</v>
      </c>
      <c r="V10" s="4">
        <v>5</v>
      </c>
      <c r="W10" s="4">
        <v>6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52.5" thickBot="1">
      <c r="A11" s="4">
        <v>10</v>
      </c>
      <c r="B11" s="4" t="s">
        <v>119</v>
      </c>
      <c r="C11" s="4" t="s">
        <v>120</v>
      </c>
      <c r="D11" s="3"/>
      <c r="E11" s="3"/>
      <c r="F11" s="4" t="s">
        <v>25</v>
      </c>
      <c r="G11" s="4">
        <v>1996</v>
      </c>
      <c r="H11" s="4" t="s">
        <v>26</v>
      </c>
      <c r="I11" s="4" t="s">
        <v>121</v>
      </c>
      <c r="J11" s="4" t="s">
        <v>28</v>
      </c>
      <c r="K11" s="4" t="s">
        <v>122</v>
      </c>
      <c r="L11" s="4" t="s">
        <v>75</v>
      </c>
      <c r="M11" s="4" t="s">
        <v>123</v>
      </c>
      <c r="N11" s="4" t="s">
        <v>124</v>
      </c>
      <c r="O11" s="4" t="s">
        <v>125</v>
      </c>
      <c r="P11" s="3"/>
      <c r="Q11" s="4" t="s">
        <v>25</v>
      </c>
      <c r="R11" s="4" t="s">
        <v>126</v>
      </c>
      <c r="S11" s="4" t="s">
        <v>127</v>
      </c>
      <c r="T11" s="4" t="s">
        <v>128</v>
      </c>
      <c r="U11" s="4">
        <v>3</v>
      </c>
      <c r="V11" s="4">
        <v>1</v>
      </c>
      <c r="W11" s="4">
        <v>4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52.5" thickBot="1">
      <c r="A12" s="4">
        <v>11</v>
      </c>
      <c r="B12" s="4" t="s">
        <v>129</v>
      </c>
      <c r="C12" s="4" t="s">
        <v>130</v>
      </c>
      <c r="D12" s="3"/>
      <c r="E12" s="3"/>
      <c r="F12" s="4" t="s">
        <v>25</v>
      </c>
      <c r="G12" s="4">
        <v>2009</v>
      </c>
      <c r="H12" s="4" t="s">
        <v>41</v>
      </c>
      <c r="I12" s="4" t="s">
        <v>131</v>
      </c>
      <c r="J12" s="4" t="s">
        <v>28</v>
      </c>
      <c r="K12" s="4" t="s">
        <v>64</v>
      </c>
      <c r="L12" s="4" t="s">
        <v>132</v>
      </c>
      <c r="M12" s="4" t="s">
        <v>133</v>
      </c>
      <c r="N12" s="4" t="s">
        <v>134</v>
      </c>
      <c r="O12" s="3"/>
      <c r="P12" s="4" t="s">
        <v>135</v>
      </c>
      <c r="Q12" s="4" t="s">
        <v>35</v>
      </c>
      <c r="R12" s="4" t="s">
        <v>136</v>
      </c>
      <c r="S12" s="4" t="s">
        <v>137</v>
      </c>
      <c r="T12" s="4" t="s">
        <v>128</v>
      </c>
      <c r="U12" s="4">
        <v>4</v>
      </c>
      <c r="V12" s="4">
        <v>2</v>
      </c>
      <c r="W12" s="4">
        <v>6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27" thickBot="1">
      <c r="A13" s="4">
        <v>12</v>
      </c>
      <c r="B13" s="4" t="s">
        <v>138</v>
      </c>
      <c r="C13" s="4" t="s">
        <v>139</v>
      </c>
      <c r="D13" s="4">
        <v>5</v>
      </c>
      <c r="E13" s="4">
        <v>1</v>
      </c>
      <c r="F13" s="4" t="s">
        <v>35</v>
      </c>
      <c r="G13" s="4">
        <v>1997</v>
      </c>
      <c r="H13" s="4" t="s">
        <v>26</v>
      </c>
      <c r="I13" s="4" t="s">
        <v>140</v>
      </c>
      <c r="J13" s="4" t="s">
        <v>28</v>
      </c>
      <c r="K13" s="4" t="s">
        <v>141</v>
      </c>
      <c r="L13" s="4" t="s">
        <v>132</v>
      </c>
      <c r="M13" s="4" t="s">
        <v>142</v>
      </c>
      <c r="N13" s="4" t="s">
        <v>143</v>
      </c>
      <c r="O13" s="4" t="s">
        <v>144</v>
      </c>
      <c r="P13" s="4" t="s">
        <v>145</v>
      </c>
      <c r="Q13" s="4" t="s">
        <v>35</v>
      </c>
      <c r="R13" s="4" t="s">
        <v>146</v>
      </c>
      <c r="S13" s="4" t="s">
        <v>147</v>
      </c>
      <c r="T13" s="4" t="s">
        <v>148</v>
      </c>
      <c r="U13" s="4">
        <v>2</v>
      </c>
      <c r="V13" s="4">
        <v>6</v>
      </c>
      <c r="W13" s="4">
        <v>8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52.5" thickBot="1">
      <c r="A14" s="4">
        <v>13</v>
      </c>
      <c r="B14" s="4" t="s">
        <v>149</v>
      </c>
      <c r="C14" s="4" t="s">
        <v>150</v>
      </c>
      <c r="D14" s="3"/>
      <c r="E14" s="3"/>
      <c r="F14" s="4" t="s">
        <v>25</v>
      </c>
      <c r="G14" s="4">
        <v>2004</v>
      </c>
      <c r="H14" s="4" t="s">
        <v>151</v>
      </c>
      <c r="I14" s="4" t="s">
        <v>152</v>
      </c>
      <c r="J14" s="4" t="s">
        <v>28</v>
      </c>
      <c r="K14" s="4" t="s">
        <v>94</v>
      </c>
      <c r="L14" s="4" t="s">
        <v>75</v>
      </c>
      <c r="M14" s="4" t="s">
        <v>153</v>
      </c>
      <c r="N14" s="4" t="s">
        <v>154</v>
      </c>
      <c r="O14" s="4">
        <f>88-2-8151121</f>
        <v>-8151035</v>
      </c>
      <c r="P14" s="3"/>
      <c r="Q14" s="4" t="s">
        <v>25</v>
      </c>
      <c r="R14" s="4" t="s">
        <v>155</v>
      </c>
      <c r="S14" s="4" t="s">
        <v>156</v>
      </c>
      <c r="T14" s="4" t="s">
        <v>157</v>
      </c>
      <c r="U14" s="4">
        <v>1</v>
      </c>
      <c r="V14" s="4">
        <v>4</v>
      </c>
      <c r="W14" s="4">
        <v>5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90.75" thickBot="1">
      <c r="A15" s="4">
        <v>14</v>
      </c>
      <c r="B15" s="4" t="s">
        <v>158</v>
      </c>
      <c r="C15" s="4" t="s">
        <v>159</v>
      </c>
      <c r="D15" s="4">
        <v>4.9000000000000004</v>
      </c>
      <c r="E15" s="4">
        <v>8</v>
      </c>
      <c r="F15" s="4" t="s">
        <v>35</v>
      </c>
      <c r="G15" s="3"/>
      <c r="H15" s="3"/>
      <c r="I15" s="4" t="s">
        <v>160</v>
      </c>
      <c r="J15" s="4" t="s">
        <v>28</v>
      </c>
      <c r="K15" s="4" t="s">
        <v>104</v>
      </c>
      <c r="L15" s="4" t="s">
        <v>84</v>
      </c>
      <c r="M15" s="4" t="s">
        <v>161</v>
      </c>
      <c r="N15" s="4" t="s">
        <v>162</v>
      </c>
      <c r="O15" s="4" t="s">
        <v>163</v>
      </c>
      <c r="P15" s="4" t="s">
        <v>164</v>
      </c>
      <c r="Q15" s="4" t="s">
        <v>35</v>
      </c>
      <c r="R15" s="4" t="s">
        <v>165</v>
      </c>
      <c r="S15" s="4" t="s">
        <v>166</v>
      </c>
      <c r="T15" s="4" t="s">
        <v>38</v>
      </c>
      <c r="U15" s="4">
        <v>1</v>
      </c>
      <c r="V15" s="4">
        <v>5</v>
      </c>
      <c r="W15" s="4">
        <v>6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65.25" thickBot="1">
      <c r="A16" s="4">
        <v>15</v>
      </c>
      <c r="B16" s="4" t="s">
        <v>167</v>
      </c>
      <c r="C16" s="4" t="s">
        <v>168</v>
      </c>
      <c r="D16" s="3"/>
      <c r="E16" s="3"/>
      <c r="F16" s="4" t="s">
        <v>25</v>
      </c>
      <c r="G16" s="4">
        <v>2010</v>
      </c>
      <c r="H16" s="4" t="s">
        <v>82</v>
      </c>
      <c r="I16" s="4" t="s">
        <v>169</v>
      </c>
      <c r="J16" s="4" t="s">
        <v>170</v>
      </c>
      <c r="K16" s="4" t="s">
        <v>171</v>
      </c>
      <c r="L16" s="4" t="s">
        <v>172</v>
      </c>
      <c r="M16" s="4" t="s">
        <v>173</v>
      </c>
      <c r="N16" s="4" t="s">
        <v>174</v>
      </c>
      <c r="O16" s="4">
        <f>88-31-2867388</f>
        <v>-2867331</v>
      </c>
      <c r="P16" s="3"/>
      <c r="Q16" s="4" t="s">
        <v>25</v>
      </c>
      <c r="R16" s="4" t="s">
        <v>175</v>
      </c>
      <c r="S16" s="4" t="s">
        <v>176</v>
      </c>
      <c r="T16" s="4" t="s">
        <v>148</v>
      </c>
      <c r="U16" s="4">
        <v>1</v>
      </c>
      <c r="V16" s="4">
        <v>4</v>
      </c>
      <c r="W16" s="4">
        <v>5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78" thickBot="1">
      <c r="A17" s="4">
        <v>16</v>
      </c>
      <c r="B17" s="4" t="s">
        <v>177</v>
      </c>
      <c r="C17" s="4" t="s">
        <v>178</v>
      </c>
      <c r="D17" s="4">
        <v>4</v>
      </c>
      <c r="E17" s="4">
        <v>4</v>
      </c>
      <c r="F17" s="4" t="s">
        <v>35</v>
      </c>
      <c r="G17" s="4">
        <v>2009</v>
      </c>
      <c r="H17" s="4" t="s">
        <v>41</v>
      </c>
      <c r="I17" s="4" t="s">
        <v>179</v>
      </c>
      <c r="J17" s="4" t="s">
        <v>28</v>
      </c>
      <c r="K17" s="4" t="s">
        <v>43</v>
      </c>
      <c r="L17" s="4" t="s">
        <v>44</v>
      </c>
      <c r="M17" s="4" t="s">
        <v>180</v>
      </c>
      <c r="N17" s="4" t="s">
        <v>181</v>
      </c>
      <c r="O17" s="4" t="s">
        <v>182</v>
      </c>
      <c r="P17" s="3"/>
      <c r="Q17" s="4" t="s">
        <v>25</v>
      </c>
      <c r="R17" s="4" t="s">
        <v>183</v>
      </c>
      <c r="S17" s="4" t="s">
        <v>184</v>
      </c>
      <c r="T17" s="4" t="s">
        <v>49</v>
      </c>
      <c r="U17" s="4">
        <v>3</v>
      </c>
      <c r="V17" s="4">
        <v>3</v>
      </c>
      <c r="W17" s="4">
        <v>5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65.25" thickBot="1">
      <c r="A18" s="4">
        <v>17</v>
      </c>
      <c r="B18" s="4" t="s">
        <v>185</v>
      </c>
      <c r="C18" s="4" t="s">
        <v>186</v>
      </c>
      <c r="D18" s="3"/>
      <c r="E18" s="3"/>
      <c r="F18" s="4" t="s">
        <v>25</v>
      </c>
      <c r="G18" s="4">
        <v>2010</v>
      </c>
      <c r="H18" s="4" t="s">
        <v>82</v>
      </c>
      <c r="I18" s="4" t="s">
        <v>187</v>
      </c>
      <c r="J18" s="4" t="s">
        <v>170</v>
      </c>
      <c r="K18" s="4" t="s">
        <v>188</v>
      </c>
      <c r="L18" s="4" t="s">
        <v>189</v>
      </c>
      <c r="M18" s="4" t="s">
        <v>190</v>
      </c>
      <c r="N18" s="4" t="s">
        <v>191</v>
      </c>
      <c r="O18" s="4">
        <v>8801737280617</v>
      </c>
      <c r="P18" s="4" t="s">
        <v>192</v>
      </c>
      <c r="Q18" s="4" t="s">
        <v>35</v>
      </c>
      <c r="R18" s="4" t="s">
        <v>193</v>
      </c>
      <c r="S18" s="4" t="s">
        <v>194</v>
      </c>
      <c r="T18" s="4" t="s">
        <v>195</v>
      </c>
      <c r="U18" s="4">
        <v>2</v>
      </c>
      <c r="V18" s="4">
        <v>2</v>
      </c>
      <c r="W18" s="4">
        <v>4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78" thickBot="1">
      <c r="A19" s="4">
        <v>18</v>
      </c>
      <c r="B19" s="4" t="s">
        <v>196</v>
      </c>
      <c r="C19" s="4" t="s">
        <v>197</v>
      </c>
      <c r="D19" s="4">
        <v>4</v>
      </c>
      <c r="E19" s="4">
        <v>56</v>
      </c>
      <c r="F19" s="4" t="s">
        <v>35</v>
      </c>
      <c r="G19" s="4">
        <v>1996</v>
      </c>
      <c r="H19" s="4" t="s">
        <v>26</v>
      </c>
      <c r="I19" s="4" t="s">
        <v>198</v>
      </c>
      <c r="J19" s="4" t="s">
        <v>28</v>
      </c>
      <c r="K19" s="4" t="s">
        <v>64</v>
      </c>
      <c r="L19" s="4" t="s">
        <v>132</v>
      </c>
      <c r="M19" s="4" t="s">
        <v>199</v>
      </c>
      <c r="N19" s="4" t="s">
        <v>200</v>
      </c>
      <c r="O19" s="4">
        <f>88-2-9890855</f>
        <v>-9890769</v>
      </c>
      <c r="P19" s="3"/>
      <c r="Q19" s="4" t="s">
        <v>25</v>
      </c>
      <c r="R19" s="4" t="s">
        <v>201</v>
      </c>
      <c r="S19" s="4" t="s">
        <v>202</v>
      </c>
      <c r="T19" s="4" t="s">
        <v>38</v>
      </c>
      <c r="U19" s="4">
        <v>1</v>
      </c>
      <c r="V19" s="4">
        <v>0</v>
      </c>
      <c r="W19" s="4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52.5" thickBot="1">
      <c r="A20" s="4">
        <v>19</v>
      </c>
      <c r="B20" s="4" t="s">
        <v>203</v>
      </c>
      <c r="C20" s="4" t="s">
        <v>204</v>
      </c>
      <c r="D20" s="3"/>
      <c r="E20" s="3"/>
      <c r="F20" s="4" t="s">
        <v>25</v>
      </c>
      <c r="G20" s="4">
        <v>2018</v>
      </c>
      <c r="H20" s="4" t="s">
        <v>205</v>
      </c>
      <c r="I20" s="4" t="s">
        <v>206</v>
      </c>
      <c r="J20" s="4" t="s">
        <v>28</v>
      </c>
      <c r="K20" s="4" t="s">
        <v>64</v>
      </c>
      <c r="L20" s="4" t="s">
        <v>132</v>
      </c>
      <c r="M20" s="4" t="s">
        <v>207</v>
      </c>
      <c r="N20" s="4" t="s">
        <v>208</v>
      </c>
      <c r="O20" s="4">
        <v>8801799586501</v>
      </c>
      <c r="P20" s="4" t="s">
        <v>209</v>
      </c>
      <c r="Q20" s="4" t="s">
        <v>35</v>
      </c>
      <c r="R20" s="4" t="s">
        <v>210</v>
      </c>
      <c r="S20" s="4" t="s">
        <v>211</v>
      </c>
      <c r="T20" s="4" t="s">
        <v>212</v>
      </c>
      <c r="U20" s="4">
        <v>1</v>
      </c>
      <c r="V20" s="4">
        <v>0</v>
      </c>
      <c r="W20" s="4">
        <v>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65.25" thickBot="1">
      <c r="A21" s="4">
        <v>20</v>
      </c>
      <c r="B21" s="4" t="s">
        <v>213</v>
      </c>
      <c r="C21" s="4" t="s">
        <v>214</v>
      </c>
      <c r="D21" s="4">
        <v>5</v>
      </c>
      <c r="E21" s="4">
        <v>3</v>
      </c>
      <c r="F21" s="4" t="s">
        <v>35</v>
      </c>
      <c r="G21" s="4">
        <v>2014</v>
      </c>
      <c r="H21" s="4" t="s">
        <v>82</v>
      </c>
      <c r="I21" s="4" t="s">
        <v>215</v>
      </c>
      <c r="J21" s="4" t="s">
        <v>28</v>
      </c>
      <c r="K21" s="4" t="s">
        <v>216</v>
      </c>
      <c r="L21" s="4" t="s">
        <v>217</v>
      </c>
      <c r="M21" s="4" t="s">
        <v>218</v>
      </c>
      <c r="N21" s="4" t="s">
        <v>219</v>
      </c>
      <c r="O21" s="4">
        <v>8801679224304</v>
      </c>
      <c r="P21" s="3"/>
      <c r="Q21" s="4" t="s">
        <v>25</v>
      </c>
      <c r="R21" s="4" t="s">
        <v>220</v>
      </c>
      <c r="S21" s="4" t="s">
        <v>221</v>
      </c>
      <c r="T21" s="4" t="s">
        <v>222</v>
      </c>
      <c r="U21" s="4">
        <v>1</v>
      </c>
      <c r="V21" s="4">
        <v>0</v>
      </c>
      <c r="W21" s="4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52.5" thickBot="1">
      <c r="A22" s="4">
        <v>21</v>
      </c>
      <c r="B22" s="4" t="s">
        <v>223</v>
      </c>
      <c r="C22" s="4" t="s">
        <v>224</v>
      </c>
      <c r="D22" s="3"/>
      <c r="E22" s="3"/>
      <c r="F22" s="4" t="s">
        <v>25</v>
      </c>
      <c r="G22" s="4">
        <v>2010</v>
      </c>
      <c r="H22" s="4" t="s">
        <v>82</v>
      </c>
      <c r="I22" s="4" t="s">
        <v>225</v>
      </c>
      <c r="J22" s="4" t="s">
        <v>28</v>
      </c>
      <c r="K22" s="4" t="s">
        <v>226</v>
      </c>
      <c r="L22" s="4" t="s">
        <v>75</v>
      </c>
      <c r="M22" s="4" t="s">
        <v>227</v>
      </c>
      <c r="N22" s="4" t="s">
        <v>228</v>
      </c>
      <c r="O22" s="4">
        <v>8801712228469</v>
      </c>
      <c r="P22" s="3"/>
      <c r="Q22" s="4" t="s">
        <v>25</v>
      </c>
      <c r="R22" s="4" t="s">
        <v>229</v>
      </c>
      <c r="S22" s="4" t="s">
        <v>230</v>
      </c>
      <c r="T22" s="4" t="s">
        <v>212</v>
      </c>
      <c r="U22" s="4">
        <v>3</v>
      </c>
      <c r="V22" s="4">
        <v>0</v>
      </c>
      <c r="W22" s="4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52.5" thickBot="1">
      <c r="A23" s="4">
        <v>22</v>
      </c>
      <c r="B23" s="4" t="s">
        <v>231</v>
      </c>
      <c r="C23" s="4" t="s">
        <v>232</v>
      </c>
      <c r="D23" s="4">
        <v>4.5</v>
      </c>
      <c r="E23" s="4">
        <v>6</v>
      </c>
      <c r="F23" s="4" t="s">
        <v>35</v>
      </c>
      <c r="G23" s="4">
        <v>1995</v>
      </c>
      <c r="H23" s="4" t="s">
        <v>26</v>
      </c>
      <c r="I23" s="4" t="s">
        <v>233</v>
      </c>
      <c r="J23" s="4" t="s">
        <v>28</v>
      </c>
      <c r="K23" s="4" t="s">
        <v>104</v>
      </c>
      <c r="L23" s="4" t="s">
        <v>105</v>
      </c>
      <c r="M23" s="4" t="s">
        <v>234</v>
      </c>
      <c r="N23" s="4" t="s">
        <v>235</v>
      </c>
      <c r="O23" s="4" t="s">
        <v>236</v>
      </c>
      <c r="P23" s="3"/>
      <c r="Q23" s="4" t="s">
        <v>25</v>
      </c>
      <c r="R23" s="4" t="s">
        <v>237</v>
      </c>
      <c r="S23" s="4" t="s">
        <v>238</v>
      </c>
      <c r="T23" s="4" t="s">
        <v>239</v>
      </c>
      <c r="U23" s="4">
        <v>2</v>
      </c>
      <c r="V23" s="4">
        <v>5</v>
      </c>
      <c r="W23" s="4">
        <v>7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27" thickBot="1">
      <c r="A24" s="4">
        <v>23</v>
      </c>
      <c r="B24" s="4" t="s">
        <v>240</v>
      </c>
      <c r="C24" s="4" t="s">
        <v>241</v>
      </c>
      <c r="D24" s="4">
        <v>4.2</v>
      </c>
      <c r="E24" s="4">
        <v>5</v>
      </c>
      <c r="F24" s="4" t="s">
        <v>35</v>
      </c>
      <c r="G24" s="4">
        <v>2018</v>
      </c>
      <c r="H24" s="4" t="s">
        <v>205</v>
      </c>
      <c r="I24" s="4" t="s">
        <v>242</v>
      </c>
      <c r="J24" s="4" t="s">
        <v>28</v>
      </c>
      <c r="K24" s="4" t="s">
        <v>141</v>
      </c>
      <c r="L24" s="4" t="s">
        <v>84</v>
      </c>
      <c r="M24" s="4" t="s">
        <v>243</v>
      </c>
      <c r="N24" s="4" t="s">
        <v>244</v>
      </c>
      <c r="O24" s="4">
        <v>8801716897632</v>
      </c>
      <c r="P24" s="3"/>
      <c r="Q24" s="4" t="s">
        <v>25</v>
      </c>
      <c r="R24" s="4" t="s">
        <v>245</v>
      </c>
      <c r="S24" s="4" t="s">
        <v>246</v>
      </c>
      <c r="T24" s="4" t="s">
        <v>60</v>
      </c>
      <c r="U24" s="4">
        <v>3</v>
      </c>
      <c r="V24" s="4">
        <v>0</v>
      </c>
      <c r="W24" s="4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39.75" thickBot="1">
      <c r="A25" s="4">
        <v>24</v>
      </c>
      <c r="B25" s="4" t="s">
        <v>247</v>
      </c>
      <c r="C25" s="4" t="s">
        <v>248</v>
      </c>
      <c r="D25" s="4">
        <v>4.8</v>
      </c>
      <c r="E25" s="4">
        <v>4</v>
      </c>
      <c r="F25" s="4" t="s">
        <v>35</v>
      </c>
      <c r="G25" s="4">
        <v>2014</v>
      </c>
      <c r="H25" s="4" t="s">
        <v>82</v>
      </c>
      <c r="I25" s="4" t="s">
        <v>249</v>
      </c>
      <c r="J25" s="4" t="s">
        <v>28</v>
      </c>
      <c r="K25" s="4" t="s">
        <v>64</v>
      </c>
      <c r="L25" s="4" t="s">
        <v>250</v>
      </c>
      <c r="M25" s="4" t="s">
        <v>251</v>
      </c>
      <c r="N25" s="4" t="s">
        <v>252</v>
      </c>
      <c r="O25" s="4">
        <v>8801911386561</v>
      </c>
      <c r="P25" s="4" t="s">
        <v>253</v>
      </c>
      <c r="Q25" s="4" t="s">
        <v>35</v>
      </c>
      <c r="R25" s="4" t="s">
        <v>254</v>
      </c>
      <c r="S25" s="4" t="s">
        <v>255</v>
      </c>
      <c r="T25" s="4" t="s">
        <v>38</v>
      </c>
      <c r="U25" s="4">
        <v>1</v>
      </c>
      <c r="V25" s="4">
        <v>0</v>
      </c>
      <c r="W25" s="4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65.25" thickBot="1">
      <c r="A26" s="4">
        <v>25</v>
      </c>
      <c r="B26" s="4" t="s">
        <v>256</v>
      </c>
      <c r="C26" s="4" t="s">
        <v>257</v>
      </c>
      <c r="D26" s="4">
        <v>5</v>
      </c>
      <c r="E26" s="4">
        <v>10</v>
      </c>
      <c r="F26" s="4" t="s">
        <v>35</v>
      </c>
      <c r="G26" s="4">
        <v>2015</v>
      </c>
      <c r="H26" s="4" t="s">
        <v>205</v>
      </c>
      <c r="I26" s="4" t="s">
        <v>258</v>
      </c>
      <c r="J26" s="4" t="s">
        <v>28</v>
      </c>
      <c r="K26" s="4" t="s">
        <v>226</v>
      </c>
      <c r="L26" s="4" t="s">
        <v>259</v>
      </c>
      <c r="M26" s="4" t="s">
        <v>260</v>
      </c>
      <c r="N26" s="4" t="s">
        <v>261</v>
      </c>
      <c r="O26" s="4">
        <v>880241021810</v>
      </c>
      <c r="P26" s="3"/>
      <c r="Q26" s="4" t="s">
        <v>25</v>
      </c>
      <c r="R26" s="4" t="s">
        <v>262</v>
      </c>
      <c r="S26" s="4" t="s">
        <v>263</v>
      </c>
      <c r="T26" s="4" t="s">
        <v>128</v>
      </c>
      <c r="U26" s="4">
        <v>4</v>
      </c>
      <c r="V26" s="4">
        <v>2</v>
      </c>
      <c r="W26" s="4">
        <v>6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52.5" thickBot="1">
      <c r="A27" s="4">
        <v>26</v>
      </c>
      <c r="B27" s="4" t="s">
        <v>264</v>
      </c>
      <c r="C27" s="4" t="s">
        <v>265</v>
      </c>
      <c r="D27" s="4">
        <v>5</v>
      </c>
      <c r="E27" s="4">
        <v>10</v>
      </c>
      <c r="F27" s="4" t="s">
        <v>35</v>
      </c>
      <c r="G27" s="4">
        <v>2017</v>
      </c>
      <c r="H27" s="4" t="s">
        <v>205</v>
      </c>
      <c r="I27" s="4" t="s">
        <v>266</v>
      </c>
      <c r="J27" s="4" t="s">
        <v>28</v>
      </c>
      <c r="K27" s="4" t="s">
        <v>226</v>
      </c>
      <c r="L27" s="4" t="s">
        <v>259</v>
      </c>
      <c r="M27" s="4" t="s">
        <v>267</v>
      </c>
      <c r="N27" s="4" t="s">
        <v>268</v>
      </c>
      <c r="O27" s="4">
        <v>880241021810</v>
      </c>
      <c r="P27" s="4" t="s">
        <v>269</v>
      </c>
      <c r="Q27" s="4" t="s">
        <v>35</v>
      </c>
      <c r="R27" s="4" t="s">
        <v>270</v>
      </c>
      <c r="S27" s="4" t="s">
        <v>271</v>
      </c>
      <c r="T27" s="4" t="s">
        <v>272</v>
      </c>
      <c r="U27" s="4">
        <v>6</v>
      </c>
      <c r="V27" s="4">
        <v>2</v>
      </c>
      <c r="W27" s="4">
        <v>8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65.25" thickBot="1">
      <c r="A28" s="4">
        <v>27</v>
      </c>
      <c r="B28" s="4" t="s">
        <v>273</v>
      </c>
      <c r="C28" s="4" t="s">
        <v>274</v>
      </c>
      <c r="D28" s="4">
        <v>4.5</v>
      </c>
      <c r="E28" s="4">
        <v>10</v>
      </c>
      <c r="F28" s="4" t="s">
        <v>35</v>
      </c>
      <c r="G28" s="4">
        <v>2016</v>
      </c>
      <c r="H28" s="4" t="s">
        <v>205</v>
      </c>
      <c r="I28" s="4" t="s">
        <v>275</v>
      </c>
      <c r="J28" s="4" t="s">
        <v>28</v>
      </c>
      <c r="K28" s="4" t="s">
        <v>64</v>
      </c>
      <c r="L28" s="4" t="s">
        <v>65</v>
      </c>
      <c r="M28" s="4" t="s">
        <v>276</v>
      </c>
      <c r="N28" s="4" t="s">
        <v>277</v>
      </c>
      <c r="O28" s="4" t="s">
        <v>278</v>
      </c>
      <c r="P28" s="6" t="s">
        <v>279</v>
      </c>
      <c r="Q28" s="4" t="s">
        <v>35</v>
      </c>
      <c r="R28" s="4" t="s">
        <v>280</v>
      </c>
      <c r="S28" s="4" t="s">
        <v>281</v>
      </c>
      <c r="T28" s="4" t="s">
        <v>222</v>
      </c>
      <c r="U28" s="4">
        <v>2</v>
      </c>
      <c r="V28" s="4">
        <v>3</v>
      </c>
      <c r="W28" s="4">
        <v>5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65.25" thickBot="1">
      <c r="A29" s="4">
        <v>28</v>
      </c>
      <c r="B29" s="4" t="s">
        <v>282</v>
      </c>
      <c r="C29" s="4" t="s">
        <v>283</v>
      </c>
      <c r="D29" s="4">
        <v>5</v>
      </c>
      <c r="E29" s="4">
        <v>3</v>
      </c>
      <c r="F29" s="4" t="s">
        <v>35</v>
      </c>
      <c r="G29" s="4">
        <v>2013</v>
      </c>
      <c r="H29" s="4" t="s">
        <v>82</v>
      </c>
      <c r="I29" s="4" t="s">
        <v>284</v>
      </c>
      <c r="J29" s="4" t="s">
        <v>28</v>
      </c>
      <c r="K29" s="4" t="s">
        <v>285</v>
      </c>
      <c r="L29" s="4" t="s">
        <v>217</v>
      </c>
      <c r="M29" s="4" t="s">
        <v>286</v>
      </c>
      <c r="N29" s="4" t="s">
        <v>287</v>
      </c>
      <c r="O29" s="4" t="s">
        <v>288</v>
      </c>
      <c r="P29" s="6" t="s">
        <v>289</v>
      </c>
      <c r="Q29" s="4" t="s">
        <v>35</v>
      </c>
      <c r="R29" s="4" t="s">
        <v>290</v>
      </c>
      <c r="S29" s="4" t="s">
        <v>291</v>
      </c>
      <c r="T29" s="4" t="s">
        <v>292</v>
      </c>
      <c r="U29" s="4">
        <v>2</v>
      </c>
      <c r="V29" s="4">
        <v>2</v>
      </c>
      <c r="W29" s="4">
        <v>4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52.5" thickBot="1">
      <c r="A30" s="4">
        <v>29</v>
      </c>
      <c r="B30" s="4" t="s">
        <v>293</v>
      </c>
      <c r="C30" s="4" t="s">
        <v>150</v>
      </c>
      <c r="D30" s="3"/>
      <c r="E30" s="3"/>
      <c r="F30" s="4" t="s">
        <v>25</v>
      </c>
      <c r="G30" s="4">
        <v>2004</v>
      </c>
      <c r="H30" s="4" t="s">
        <v>151</v>
      </c>
      <c r="I30" s="4" t="s">
        <v>294</v>
      </c>
      <c r="J30" s="4" t="s">
        <v>28</v>
      </c>
      <c r="K30" s="4" t="s">
        <v>53</v>
      </c>
      <c r="L30" s="4" t="s">
        <v>75</v>
      </c>
      <c r="M30" s="4" t="s">
        <v>295</v>
      </c>
      <c r="N30" s="4" t="s">
        <v>296</v>
      </c>
      <c r="O30" s="4" t="s">
        <v>297</v>
      </c>
      <c r="P30" s="3"/>
      <c r="Q30" s="4" t="s">
        <v>25</v>
      </c>
      <c r="R30" s="4" t="s">
        <v>155</v>
      </c>
      <c r="S30" s="4" t="s">
        <v>156</v>
      </c>
      <c r="T30" s="4" t="s">
        <v>49</v>
      </c>
      <c r="U30" s="4">
        <v>2</v>
      </c>
      <c r="V30" s="4">
        <v>1</v>
      </c>
      <c r="W30" s="4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52.5" thickBot="1">
      <c r="A31" s="4">
        <v>30</v>
      </c>
      <c r="B31" s="4" t="s">
        <v>298</v>
      </c>
      <c r="C31" s="4" t="s">
        <v>299</v>
      </c>
      <c r="D31" s="4">
        <v>5</v>
      </c>
      <c r="E31" s="4">
        <v>7</v>
      </c>
      <c r="F31" s="4" t="s">
        <v>35</v>
      </c>
      <c r="G31" s="4">
        <v>2017</v>
      </c>
      <c r="H31" s="4" t="s">
        <v>205</v>
      </c>
      <c r="I31" s="4" t="s">
        <v>300</v>
      </c>
      <c r="J31" s="4" t="s">
        <v>28</v>
      </c>
      <c r="K31" s="4" t="s">
        <v>301</v>
      </c>
      <c r="L31" s="4" t="s">
        <v>30</v>
      </c>
      <c r="M31" s="4" t="s">
        <v>302</v>
      </c>
      <c r="N31" s="4" t="s">
        <v>303</v>
      </c>
      <c r="O31" s="4" t="s">
        <v>304</v>
      </c>
      <c r="P31" s="6" t="s">
        <v>305</v>
      </c>
      <c r="Q31" s="4" t="s">
        <v>35</v>
      </c>
      <c r="R31" s="4" t="s">
        <v>306</v>
      </c>
      <c r="S31" s="4" t="s">
        <v>307</v>
      </c>
      <c r="T31" s="4" t="s">
        <v>308</v>
      </c>
      <c r="U31" s="4">
        <v>3</v>
      </c>
      <c r="V31" s="4">
        <v>0</v>
      </c>
      <c r="W31" s="4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78" thickBot="1">
      <c r="A32" s="4">
        <v>31</v>
      </c>
      <c r="B32" s="4" t="s">
        <v>309</v>
      </c>
      <c r="C32" s="4" t="s">
        <v>310</v>
      </c>
      <c r="D32" s="3"/>
      <c r="E32" s="3"/>
      <c r="F32" s="4" t="s">
        <v>25</v>
      </c>
      <c r="G32" s="4">
        <v>1985</v>
      </c>
      <c r="H32" s="4" t="s">
        <v>311</v>
      </c>
      <c r="I32" s="4" t="s">
        <v>312</v>
      </c>
      <c r="J32" s="4" t="s">
        <v>28</v>
      </c>
      <c r="K32" s="4" t="s">
        <v>53</v>
      </c>
      <c r="L32" s="4" t="s">
        <v>217</v>
      </c>
      <c r="M32" s="4" t="s">
        <v>313</v>
      </c>
      <c r="N32" s="4" t="s">
        <v>314</v>
      </c>
      <c r="O32" s="4" t="s">
        <v>315</v>
      </c>
      <c r="P32" s="3"/>
      <c r="Q32" s="4" t="s">
        <v>25</v>
      </c>
      <c r="R32" s="4" t="s">
        <v>316</v>
      </c>
      <c r="S32" s="4" t="s">
        <v>317</v>
      </c>
      <c r="T32" s="4" t="s">
        <v>38</v>
      </c>
      <c r="U32" s="4">
        <v>2</v>
      </c>
      <c r="V32" s="4">
        <v>0</v>
      </c>
      <c r="W32" s="4">
        <v>2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39.75" thickBot="1">
      <c r="A33" s="4">
        <v>32</v>
      </c>
      <c r="B33" s="4" t="s">
        <v>318</v>
      </c>
      <c r="C33" s="4" t="s">
        <v>319</v>
      </c>
      <c r="D33" s="3"/>
      <c r="E33" s="3"/>
      <c r="F33" s="4" t="s">
        <v>25</v>
      </c>
      <c r="G33" s="4">
        <v>2014</v>
      </c>
      <c r="H33" s="4" t="s">
        <v>82</v>
      </c>
      <c r="I33" s="4" t="s">
        <v>320</v>
      </c>
      <c r="J33" s="4" t="s">
        <v>28</v>
      </c>
      <c r="K33" s="4" t="s">
        <v>226</v>
      </c>
      <c r="L33" s="4" t="s">
        <v>321</v>
      </c>
      <c r="M33" s="4" t="s">
        <v>322</v>
      </c>
      <c r="N33" s="4" t="s">
        <v>323</v>
      </c>
      <c r="O33" s="4" t="s">
        <v>324</v>
      </c>
      <c r="P33" s="3"/>
      <c r="Q33" s="4" t="s">
        <v>25</v>
      </c>
      <c r="R33" s="4" t="s">
        <v>325</v>
      </c>
      <c r="S33" s="4" t="s">
        <v>326</v>
      </c>
      <c r="T33" s="4" t="s">
        <v>327</v>
      </c>
      <c r="U33" s="4">
        <v>4</v>
      </c>
      <c r="V33" s="4">
        <v>0</v>
      </c>
      <c r="W33" s="4">
        <v>4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78" thickBot="1">
      <c r="A34" s="4">
        <v>33</v>
      </c>
      <c r="B34" s="4" t="s">
        <v>328</v>
      </c>
      <c r="C34" s="4" t="s">
        <v>329</v>
      </c>
      <c r="D34" s="4">
        <v>4.9000000000000004</v>
      </c>
      <c r="E34" s="4">
        <v>26</v>
      </c>
      <c r="F34" s="4" t="s">
        <v>35</v>
      </c>
      <c r="G34" s="3"/>
      <c r="H34" s="3"/>
      <c r="I34" s="4" t="s">
        <v>330</v>
      </c>
      <c r="J34" s="4" t="s">
        <v>28</v>
      </c>
      <c r="K34" s="4" t="s">
        <v>331</v>
      </c>
      <c r="L34" s="4" t="s">
        <v>132</v>
      </c>
      <c r="M34" s="4" t="s">
        <v>332</v>
      </c>
      <c r="N34" s="4" t="s">
        <v>333</v>
      </c>
      <c r="O34" s="4" t="s">
        <v>334</v>
      </c>
      <c r="P34" s="3"/>
      <c r="Q34" s="4" t="s">
        <v>25</v>
      </c>
      <c r="R34" s="4" t="s">
        <v>335</v>
      </c>
      <c r="S34" s="4" t="s">
        <v>336</v>
      </c>
      <c r="T34" s="4" t="s">
        <v>49</v>
      </c>
      <c r="U34" s="4">
        <v>0</v>
      </c>
      <c r="V34" s="4">
        <v>0</v>
      </c>
      <c r="W34" s="4">
        <v>0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65.25" thickBot="1">
      <c r="A35" s="4">
        <v>34</v>
      </c>
      <c r="B35" s="4" t="s">
        <v>337</v>
      </c>
      <c r="C35" s="4" t="s">
        <v>130</v>
      </c>
      <c r="D35" s="3"/>
      <c r="E35" s="3"/>
      <c r="F35" s="4" t="s">
        <v>25</v>
      </c>
      <c r="G35" s="4">
        <v>2009</v>
      </c>
      <c r="H35" s="4" t="s">
        <v>41</v>
      </c>
      <c r="I35" s="4" t="s">
        <v>338</v>
      </c>
      <c r="J35" s="4" t="s">
        <v>28</v>
      </c>
      <c r="K35" s="4" t="s">
        <v>64</v>
      </c>
      <c r="L35" s="4" t="s">
        <v>132</v>
      </c>
      <c r="M35" s="4" t="s">
        <v>339</v>
      </c>
      <c r="N35" s="4" t="s">
        <v>134</v>
      </c>
      <c r="O35" s="4" t="s">
        <v>340</v>
      </c>
      <c r="P35" s="6" t="s">
        <v>341</v>
      </c>
      <c r="Q35" s="4" t="s">
        <v>35</v>
      </c>
      <c r="R35" s="4" t="s">
        <v>342</v>
      </c>
      <c r="S35" s="4" t="s">
        <v>137</v>
      </c>
      <c r="T35" s="4" t="s">
        <v>49</v>
      </c>
      <c r="U35" s="4">
        <v>0</v>
      </c>
      <c r="V35" s="4">
        <v>0</v>
      </c>
      <c r="W35" s="4">
        <v>0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27" thickBot="1">
      <c r="A36" s="4">
        <v>35</v>
      </c>
      <c r="B36" s="4" t="s">
        <v>343</v>
      </c>
      <c r="C36" s="4" t="s">
        <v>344</v>
      </c>
      <c r="D36" s="3"/>
      <c r="E36" s="3"/>
      <c r="F36" s="4" t="s">
        <v>25</v>
      </c>
      <c r="G36" s="4">
        <v>2017</v>
      </c>
      <c r="H36" s="4" t="s">
        <v>205</v>
      </c>
      <c r="I36" s="4" t="s">
        <v>345</v>
      </c>
      <c r="J36" s="4" t="s">
        <v>28</v>
      </c>
      <c r="K36" s="4" t="s">
        <v>122</v>
      </c>
      <c r="L36" s="4" t="s">
        <v>54</v>
      </c>
      <c r="M36" s="4" t="s">
        <v>346</v>
      </c>
      <c r="N36" s="4" t="s">
        <v>347</v>
      </c>
      <c r="O36" s="4" t="s">
        <v>348</v>
      </c>
      <c r="P36" s="3"/>
      <c r="Q36" s="4" t="s">
        <v>25</v>
      </c>
      <c r="R36" s="4" t="s">
        <v>349</v>
      </c>
      <c r="S36" s="4" t="s">
        <v>350</v>
      </c>
      <c r="T36" s="4" t="s">
        <v>49</v>
      </c>
      <c r="U36" s="4">
        <v>3</v>
      </c>
      <c r="V36" s="4">
        <v>0</v>
      </c>
      <c r="W36" s="4">
        <v>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27" thickBot="1">
      <c r="A37" s="4">
        <v>36</v>
      </c>
      <c r="B37" s="4" t="s">
        <v>351</v>
      </c>
      <c r="C37" s="4" t="s">
        <v>352</v>
      </c>
      <c r="D37" s="4">
        <v>5</v>
      </c>
      <c r="E37" s="4">
        <v>1</v>
      </c>
      <c r="F37" s="4" t="s">
        <v>35</v>
      </c>
      <c r="G37" s="4">
        <v>2017</v>
      </c>
      <c r="H37" s="4" t="s">
        <v>205</v>
      </c>
      <c r="I37" s="4" t="s">
        <v>73</v>
      </c>
      <c r="J37" s="4" t="s">
        <v>28</v>
      </c>
      <c r="K37" s="4" t="s">
        <v>74</v>
      </c>
      <c r="L37" s="4" t="s">
        <v>75</v>
      </c>
      <c r="M37" s="4" t="s">
        <v>353</v>
      </c>
      <c r="N37" s="4" t="s">
        <v>347</v>
      </c>
      <c r="O37" s="4" t="s">
        <v>348</v>
      </c>
      <c r="P37" s="3"/>
      <c r="Q37" s="4" t="s">
        <v>25</v>
      </c>
      <c r="R37" s="4" t="s">
        <v>354</v>
      </c>
      <c r="S37" s="4" t="s">
        <v>355</v>
      </c>
      <c r="T37" s="4" t="s">
        <v>111</v>
      </c>
      <c r="U37" s="4">
        <v>4</v>
      </c>
      <c r="V37" s="4">
        <v>0</v>
      </c>
      <c r="W37" s="4">
        <v>4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39.75" thickBot="1">
      <c r="A38" s="4">
        <v>37</v>
      </c>
      <c r="B38" s="4" t="s">
        <v>356</v>
      </c>
      <c r="C38" s="4" t="s">
        <v>357</v>
      </c>
      <c r="D38" s="3"/>
      <c r="E38" s="3"/>
      <c r="F38" s="4" t="s">
        <v>25</v>
      </c>
      <c r="G38" s="4">
        <v>1988</v>
      </c>
      <c r="H38" s="4" t="s">
        <v>311</v>
      </c>
      <c r="I38" s="4" t="s">
        <v>358</v>
      </c>
      <c r="J38" s="4" t="s">
        <v>28</v>
      </c>
      <c r="K38" s="4" t="s">
        <v>359</v>
      </c>
      <c r="L38" s="4" t="s">
        <v>360</v>
      </c>
      <c r="M38" s="4" t="s">
        <v>361</v>
      </c>
      <c r="N38" s="4" t="s">
        <v>362</v>
      </c>
      <c r="O38" s="4" t="s">
        <v>363</v>
      </c>
      <c r="P38" s="4" t="s">
        <v>364</v>
      </c>
      <c r="Q38" s="4" t="s">
        <v>35</v>
      </c>
      <c r="R38" s="4" t="s">
        <v>365</v>
      </c>
      <c r="S38" s="4" t="s">
        <v>366</v>
      </c>
      <c r="T38" s="4" t="s">
        <v>128</v>
      </c>
      <c r="U38" s="4">
        <v>1</v>
      </c>
      <c r="V38" s="4">
        <v>6</v>
      </c>
      <c r="W38" s="4">
        <v>7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27" thickBot="1">
      <c r="A39" s="4">
        <v>38</v>
      </c>
      <c r="B39" s="4" t="s">
        <v>367</v>
      </c>
      <c r="C39" s="4" t="s">
        <v>368</v>
      </c>
      <c r="D39" s="4">
        <v>2.5</v>
      </c>
      <c r="E39" s="4">
        <v>6</v>
      </c>
      <c r="F39" s="4" t="s">
        <v>35</v>
      </c>
      <c r="G39" s="4">
        <v>2013</v>
      </c>
      <c r="H39" s="4" t="s">
        <v>82</v>
      </c>
      <c r="I39" s="4" t="s">
        <v>369</v>
      </c>
      <c r="J39" s="4" t="s">
        <v>28</v>
      </c>
      <c r="K39" s="4" t="s">
        <v>64</v>
      </c>
      <c r="L39" s="4" t="s">
        <v>370</v>
      </c>
      <c r="M39" s="4" t="s">
        <v>371</v>
      </c>
      <c r="N39" s="4" t="s">
        <v>372</v>
      </c>
      <c r="O39" s="4" t="s">
        <v>373</v>
      </c>
      <c r="P39" s="3"/>
      <c r="Q39" s="4" t="s">
        <v>25</v>
      </c>
      <c r="R39" s="4" t="s">
        <v>374</v>
      </c>
      <c r="S39" s="4" t="s">
        <v>375</v>
      </c>
      <c r="T39" s="4" t="s">
        <v>128</v>
      </c>
      <c r="U39" s="4">
        <v>5</v>
      </c>
      <c r="V39" s="4">
        <v>15</v>
      </c>
      <c r="W39" s="4">
        <v>20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52.5" thickBot="1">
      <c r="A40" s="4">
        <v>39</v>
      </c>
      <c r="B40" s="4" t="s">
        <v>376</v>
      </c>
      <c r="C40" s="4" t="s">
        <v>377</v>
      </c>
      <c r="D40" s="4">
        <v>4.7</v>
      </c>
      <c r="E40" s="4">
        <v>42</v>
      </c>
      <c r="F40" s="4" t="s">
        <v>35</v>
      </c>
      <c r="G40" s="4">
        <v>2005</v>
      </c>
      <c r="H40" s="4" t="s">
        <v>41</v>
      </c>
      <c r="I40" s="4" t="s">
        <v>378</v>
      </c>
      <c r="J40" s="4" t="s">
        <v>28</v>
      </c>
      <c r="K40" s="4" t="s">
        <v>64</v>
      </c>
      <c r="L40" s="4" t="s">
        <v>379</v>
      </c>
      <c r="M40" s="4" t="s">
        <v>380</v>
      </c>
      <c r="N40" s="4" t="s">
        <v>381</v>
      </c>
      <c r="O40" s="4" t="s">
        <v>382</v>
      </c>
      <c r="P40" s="4" t="s">
        <v>383</v>
      </c>
      <c r="Q40" s="4" t="s">
        <v>35</v>
      </c>
      <c r="R40" s="4" t="s">
        <v>384</v>
      </c>
      <c r="S40" s="4" t="s">
        <v>385</v>
      </c>
      <c r="T40" s="4" t="s">
        <v>386</v>
      </c>
      <c r="U40" s="4">
        <v>7</v>
      </c>
      <c r="V40" s="4">
        <v>9</v>
      </c>
      <c r="W40" s="4">
        <v>16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52.5" thickBot="1">
      <c r="A41" s="4">
        <v>40</v>
      </c>
      <c r="B41" s="4" t="s">
        <v>387</v>
      </c>
      <c r="C41" s="4" t="s">
        <v>388</v>
      </c>
      <c r="D41" s="4">
        <v>5</v>
      </c>
      <c r="E41" s="4">
        <v>1</v>
      </c>
      <c r="F41" s="4" t="s">
        <v>35</v>
      </c>
      <c r="G41" s="4">
        <v>2008</v>
      </c>
      <c r="H41" s="4" t="s">
        <v>41</v>
      </c>
      <c r="I41" s="4" t="s">
        <v>389</v>
      </c>
      <c r="J41" s="4" t="s">
        <v>28</v>
      </c>
      <c r="K41" s="4" t="s">
        <v>104</v>
      </c>
      <c r="L41" s="4" t="s">
        <v>390</v>
      </c>
      <c r="M41" s="4" t="s">
        <v>391</v>
      </c>
      <c r="N41" s="4" t="s">
        <v>392</v>
      </c>
      <c r="O41" s="4" t="s">
        <v>393</v>
      </c>
      <c r="P41" s="4" t="s">
        <v>394</v>
      </c>
      <c r="Q41" s="4" t="s">
        <v>35</v>
      </c>
      <c r="R41" s="4" t="s">
        <v>395</v>
      </c>
      <c r="S41" s="4" t="s">
        <v>396</v>
      </c>
      <c r="T41" s="4" t="s">
        <v>128</v>
      </c>
      <c r="U41" s="4">
        <v>2</v>
      </c>
      <c r="V41" s="4">
        <v>3</v>
      </c>
      <c r="W41" s="4">
        <v>5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78" thickBot="1">
      <c r="A42" s="4">
        <v>41</v>
      </c>
      <c r="B42" s="4" t="s">
        <v>397</v>
      </c>
      <c r="C42" s="4" t="s">
        <v>398</v>
      </c>
      <c r="D42" s="4">
        <v>4.5</v>
      </c>
      <c r="E42" s="4">
        <v>44</v>
      </c>
      <c r="F42" s="4" t="s">
        <v>35</v>
      </c>
      <c r="G42" s="4">
        <v>2013</v>
      </c>
      <c r="H42" s="4" t="s">
        <v>82</v>
      </c>
      <c r="I42" s="4" t="s">
        <v>399</v>
      </c>
      <c r="J42" s="4" t="s">
        <v>28</v>
      </c>
      <c r="K42" s="4" t="s">
        <v>122</v>
      </c>
      <c r="L42" s="4" t="s">
        <v>400</v>
      </c>
      <c r="M42" s="4" t="s">
        <v>401</v>
      </c>
      <c r="N42" s="4" t="s">
        <v>402</v>
      </c>
      <c r="O42" s="4" t="s">
        <v>403</v>
      </c>
      <c r="P42" s="3"/>
      <c r="Q42" s="4" t="s">
        <v>25</v>
      </c>
      <c r="R42" s="4" t="s">
        <v>404</v>
      </c>
      <c r="S42" s="4" t="s">
        <v>405</v>
      </c>
      <c r="T42" s="4" t="s">
        <v>406</v>
      </c>
      <c r="U42" s="4">
        <v>2</v>
      </c>
      <c r="V42" s="4">
        <v>2</v>
      </c>
      <c r="W42" s="4">
        <v>4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27" thickBot="1">
      <c r="A43" s="4">
        <v>42</v>
      </c>
      <c r="B43" s="4" t="s">
        <v>407</v>
      </c>
      <c r="C43" s="4" t="s">
        <v>408</v>
      </c>
      <c r="D43" s="3"/>
      <c r="E43" s="3"/>
      <c r="F43" s="4" t="s">
        <v>25</v>
      </c>
      <c r="G43" s="4">
        <v>2009</v>
      </c>
      <c r="H43" s="4" t="s">
        <v>41</v>
      </c>
      <c r="I43" s="4" t="s">
        <v>409</v>
      </c>
      <c r="J43" s="4" t="s">
        <v>28</v>
      </c>
      <c r="K43" s="4" t="s">
        <v>410</v>
      </c>
      <c r="L43" s="4" t="s">
        <v>217</v>
      </c>
      <c r="M43" s="4" t="s">
        <v>411</v>
      </c>
      <c r="N43" s="4" t="s">
        <v>412</v>
      </c>
      <c r="O43" s="4" t="s">
        <v>413</v>
      </c>
      <c r="P43" s="4" t="s">
        <v>414</v>
      </c>
      <c r="Q43" s="4" t="s">
        <v>35</v>
      </c>
      <c r="R43" s="4" t="s">
        <v>415</v>
      </c>
      <c r="S43" s="4" t="s">
        <v>416</v>
      </c>
      <c r="T43" s="4" t="s">
        <v>49</v>
      </c>
      <c r="U43" s="4">
        <v>2</v>
      </c>
      <c r="V43" s="4">
        <v>2</v>
      </c>
      <c r="W43" s="4">
        <v>4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39.75" thickBot="1">
      <c r="A44" s="4">
        <v>43</v>
      </c>
      <c r="B44" s="4" t="s">
        <v>417</v>
      </c>
      <c r="C44" s="4" t="s">
        <v>418</v>
      </c>
      <c r="D44" s="4">
        <v>4.2</v>
      </c>
      <c r="E44" s="4">
        <v>6</v>
      </c>
      <c r="F44" s="4" t="s">
        <v>35</v>
      </c>
      <c r="G44" s="4">
        <v>2012</v>
      </c>
      <c r="H44" s="4" t="s">
        <v>82</v>
      </c>
      <c r="I44" s="4" t="s">
        <v>419</v>
      </c>
      <c r="J44" s="4" t="s">
        <v>28</v>
      </c>
      <c r="K44" s="4" t="s">
        <v>74</v>
      </c>
      <c r="L44" s="4" t="s">
        <v>420</v>
      </c>
      <c r="M44" s="4" t="s">
        <v>421</v>
      </c>
      <c r="N44" s="4" t="s">
        <v>422</v>
      </c>
      <c r="O44" s="4" t="s">
        <v>423</v>
      </c>
      <c r="P44" s="3"/>
      <c r="Q44" s="4" t="s">
        <v>25</v>
      </c>
      <c r="R44" s="4" t="s">
        <v>424</v>
      </c>
      <c r="S44" s="4" t="s">
        <v>425</v>
      </c>
      <c r="T44" s="4" t="s">
        <v>38</v>
      </c>
      <c r="U44" s="4">
        <v>2</v>
      </c>
      <c r="V44" s="4">
        <v>1</v>
      </c>
      <c r="W44" s="4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52.5" thickBot="1">
      <c r="A45" s="4">
        <v>44</v>
      </c>
      <c r="B45" s="4" t="s">
        <v>426</v>
      </c>
      <c r="C45" s="4" t="s">
        <v>427</v>
      </c>
      <c r="D45" s="4">
        <v>4.8</v>
      </c>
      <c r="E45" s="4">
        <v>10</v>
      </c>
      <c r="F45" s="4" t="s">
        <v>35</v>
      </c>
      <c r="G45" s="4">
        <v>1986</v>
      </c>
      <c r="H45" s="4" t="s">
        <v>311</v>
      </c>
      <c r="I45" s="4" t="s">
        <v>428</v>
      </c>
      <c r="J45" s="4" t="s">
        <v>28</v>
      </c>
      <c r="K45" s="4" t="s">
        <v>64</v>
      </c>
      <c r="L45" s="4" t="s">
        <v>370</v>
      </c>
      <c r="M45" s="4" t="s">
        <v>429</v>
      </c>
      <c r="N45" s="4" t="s">
        <v>430</v>
      </c>
      <c r="O45" s="4">
        <v>8801671119933</v>
      </c>
      <c r="P45" s="3"/>
      <c r="Q45" s="4" t="s">
        <v>25</v>
      </c>
      <c r="R45" s="4" t="s">
        <v>431</v>
      </c>
      <c r="S45" s="4" t="s">
        <v>432</v>
      </c>
      <c r="T45" s="4" t="s">
        <v>433</v>
      </c>
      <c r="U45" s="4">
        <v>7</v>
      </c>
      <c r="V45" s="4">
        <v>0</v>
      </c>
      <c r="W45" s="4">
        <v>7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65.25" thickBot="1">
      <c r="A46" s="4">
        <v>45</v>
      </c>
      <c r="B46" s="4" t="s">
        <v>434</v>
      </c>
      <c r="C46" s="4" t="s">
        <v>435</v>
      </c>
      <c r="D46" s="3"/>
      <c r="E46" s="3"/>
      <c r="F46" s="4" t="s">
        <v>25</v>
      </c>
      <c r="G46" s="4">
        <v>2018</v>
      </c>
      <c r="H46" s="4" t="s">
        <v>205</v>
      </c>
      <c r="I46" s="4" t="s">
        <v>436</v>
      </c>
      <c r="J46" s="4" t="s">
        <v>28</v>
      </c>
      <c r="K46" s="4" t="s">
        <v>64</v>
      </c>
      <c r="L46" s="4" t="s">
        <v>370</v>
      </c>
      <c r="M46" s="4" t="s">
        <v>437</v>
      </c>
      <c r="N46" s="4" t="s">
        <v>438</v>
      </c>
      <c r="O46" s="4">
        <v>8801819272915</v>
      </c>
      <c r="P46" s="3"/>
      <c r="Q46" s="4" t="s">
        <v>25</v>
      </c>
      <c r="R46" s="4" t="s">
        <v>439</v>
      </c>
      <c r="S46" s="4" t="s">
        <v>440</v>
      </c>
      <c r="T46" s="4" t="s">
        <v>222</v>
      </c>
      <c r="U46" s="4">
        <v>1</v>
      </c>
      <c r="V46" s="4">
        <v>0</v>
      </c>
      <c r="W46" s="4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52.5" thickBot="1">
      <c r="A47" s="4">
        <v>46</v>
      </c>
      <c r="B47" s="4" t="s">
        <v>441</v>
      </c>
      <c r="C47" s="4" t="s">
        <v>442</v>
      </c>
      <c r="D47" s="4">
        <v>4.7</v>
      </c>
      <c r="E47" s="4">
        <v>71</v>
      </c>
      <c r="F47" s="4" t="s">
        <v>35</v>
      </c>
      <c r="G47" s="4">
        <v>2009</v>
      </c>
      <c r="H47" s="4" t="s">
        <v>41</v>
      </c>
      <c r="I47" s="4" t="s">
        <v>443</v>
      </c>
      <c r="J47" s="4" t="s">
        <v>28</v>
      </c>
      <c r="K47" s="4" t="s">
        <v>104</v>
      </c>
      <c r="L47" s="4" t="s">
        <v>444</v>
      </c>
      <c r="M47" s="4" t="s">
        <v>445</v>
      </c>
      <c r="N47" s="4" t="s">
        <v>446</v>
      </c>
      <c r="O47" s="4" t="s">
        <v>447</v>
      </c>
      <c r="P47" s="4" t="s">
        <v>448</v>
      </c>
      <c r="Q47" s="4" t="s">
        <v>35</v>
      </c>
      <c r="R47" s="4" t="s">
        <v>449</v>
      </c>
      <c r="S47" s="4" t="s">
        <v>450</v>
      </c>
      <c r="T47" s="4" t="s">
        <v>451</v>
      </c>
      <c r="U47" s="4">
        <v>7</v>
      </c>
      <c r="V47" s="4">
        <v>3</v>
      </c>
      <c r="W47" s="4">
        <v>10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52.5" thickBot="1">
      <c r="A48" s="4">
        <v>47</v>
      </c>
      <c r="B48" s="4" t="s">
        <v>452</v>
      </c>
      <c r="C48" s="4" t="s">
        <v>453</v>
      </c>
      <c r="D48" s="4">
        <v>4</v>
      </c>
      <c r="E48" s="4">
        <v>3</v>
      </c>
      <c r="F48" s="4" t="s">
        <v>35</v>
      </c>
      <c r="G48" s="4">
        <v>1978</v>
      </c>
      <c r="H48" s="4" t="s">
        <v>454</v>
      </c>
      <c r="I48" s="4" t="s">
        <v>455</v>
      </c>
      <c r="J48" s="4" t="s">
        <v>28</v>
      </c>
      <c r="K48" s="4" t="s">
        <v>122</v>
      </c>
      <c r="L48" s="4" t="s">
        <v>456</v>
      </c>
      <c r="M48" s="4" t="s">
        <v>457</v>
      </c>
      <c r="N48" s="4" t="s">
        <v>458</v>
      </c>
      <c r="O48" s="4" t="s">
        <v>459</v>
      </c>
      <c r="P48" s="4" t="s">
        <v>460</v>
      </c>
      <c r="Q48" s="4" t="s">
        <v>35</v>
      </c>
      <c r="R48" s="4" t="s">
        <v>461</v>
      </c>
      <c r="S48" s="4" t="s">
        <v>462</v>
      </c>
      <c r="T48" s="4" t="s">
        <v>433</v>
      </c>
      <c r="U48" s="4">
        <v>2</v>
      </c>
      <c r="V48" s="4">
        <v>17</v>
      </c>
      <c r="W48" s="4">
        <v>19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65.25" thickBot="1">
      <c r="A49" s="4">
        <v>48</v>
      </c>
      <c r="B49" s="4" t="s">
        <v>463</v>
      </c>
      <c r="C49" s="4" t="s">
        <v>464</v>
      </c>
      <c r="D49" s="4">
        <v>4.7</v>
      </c>
      <c r="E49" s="4">
        <v>18</v>
      </c>
      <c r="F49" s="4" t="s">
        <v>35</v>
      </c>
      <c r="G49" s="4"/>
      <c r="H49" s="3"/>
      <c r="I49" s="4" t="s">
        <v>465</v>
      </c>
      <c r="J49" s="4" t="s">
        <v>28</v>
      </c>
      <c r="K49" s="4" t="s">
        <v>141</v>
      </c>
      <c r="L49" s="4" t="s">
        <v>466</v>
      </c>
      <c r="M49" s="4" t="s">
        <v>467</v>
      </c>
      <c r="N49" s="4" t="s">
        <v>468</v>
      </c>
      <c r="O49" s="4" t="s">
        <v>469</v>
      </c>
      <c r="P49" s="3"/>
      <c r="Q49" s="4" t="s">
        <v>25</v>
      </c>
      <c r="R49" s="4" t="s">
        <v>470</v>
      </c>
      <c r="S49" s="4" t="s">
        <v>471</v>
      </c>
      <c r="T49" s="4" t="s">
        <v>472</v>
      </c>
      <c r="U49" s="4">
        <v>1</v>
      </c>
      <c r="V49" s="4">
        <v>3</v>
      </c>
      <c r="W49" s="4">
        <v>4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65.25" thickBot="1">
      <c r="A50" s="4">
        <v>49</v>
      </c>
      <c r="B50" s="4" t="s">
        <v>473</v>
      </c>
      <c r="C50" s="4" t="s">
        <v>474</v>
      </c>
      <c r="D50" s="3"/>
      <c r="E50" s="3"/>
      <c r="F50" s="4" t="s">
        <v>25</v>
      </c>
      <c r="G50" s="4">
        <v>1992</v>
      </c>
      <c r="H50" s="4" t="s">
        <v>475</v>
      </c>
      <c r="I50" s="4" t="s">
        <v>476</v>
      </c>
      <c r="J50" s="4" t="s">
        <v>28</v>
      </c>
      <c r="K50" s="4" t="s">
        <v>43</v>
      </c>
      <c r="L50" s="4" t="s">
        <v>477</v>
      </c>
      <c r="M50" s="4" t="s">
        <v>478</v>
      </c>
      <c r="N50" s="4" t="s">
        <v>479</v>
      </c>
      <c r="O50" s="4" t="s">
        <v>480</v>
      </c>
      <c r="P50" s="3"/>
      <c r="Q50" s="4" t="s">
        <v>25</v>
      </c>
      <c r="R50" s="4" t="s">
        <v>481</v>
      </c>
      <c r="S50" s="4" t="s">
        <v>482</v>
      </c>
      <c r="T50" s="4" t="s">
        <v>38</v>
      </c>
      <c r="U50" s="4">
        <v>2</v>
      </c>
      <c r="V50" s="4">
        <v>7</v>
      </c>
      <c r="W50" s="4">
        <v>9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65.25" thickBot="1">
      <c r="A51" s="4">
        <v>50</v>
      </c>
      <c r="B51" s="4" t="s">
        <v>483</v>
      </c>
      <c r="C51" s="4" t="s">
        <v>484</v>
      </c>
      <c r="D51" s="4">
        <v>4.2</v>
      </c>
      <c r="E51" s="4">
        <v>18</v>
      </c>
      <c r="F51" s="4" t="s">
        <v>35</v>
      </c>
      <c r="G51" s="4">
        <v>1998</v>
      </c>
      <c r="H51" s="4" t="s">
        <v>26</v>
      </c>
      <c r="I51" s="4" t="s">
        <v>485</v>
      </c>
      <c r="J51" s="4" t="s">
        <v>28</v>
      </c>
      <c r="K51" s="4" t="s">
        <v>64</v>
      </c>
      <c r="L51" s="4" t="s">
        <v>370</v>
      </c>
      <c r="M51" s="4" t="s">
        <v>486</v>
      </c>
      <c r="N51" s="4" t="s">
        <v>487</v>
      </c>
      <c r="O51" s="4" t="s">
        <v>488</v>
      </c>
      <c r="P51" s="4" t="s">
        <v>489</v>
      </c>
      <c r="Q51" s="4" t="s">
        <v>35</v>
      </c>
      <c r="R51" s="4" t="s">
        <v>490</v>
      </c>
      <c r="S51" s="4" t="s">
        <v>491</v>
      </c>
      <c r="T51" s="4" t="s">
        <v>492</v>
      </c>
      <c r="U51" s="4">
        <v>7</v>
      </c>
      <c r="V51" s="4">
        <v>5</v>
      </c>
      <c r="W51" s="4">
        <v>12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78" thickBot="1">
      <c r="A52" s="4">
        <v>51</v>
      </c>
      <c r="B52" s="4" t="s">
        <v>493</v>
      </c>
      <c r="C52" s="4" t="s">
        <v>494</v>
      </c>
      <c r="D52" s="4">
        <v>4.4000000000000004</v>
      </c>
      <c r="E52" s="4">
        <v>27</v>
      </c>
      <c r="F52" s="4" t="s">
        <v>35</v>
      </c>
      <c r="G52" s="4">
        <v>1977</v>
      </c>
      <c r="H52" s="4" t="s">
        <v>454</v>
      </c>
      <c r="I52" s="4" t="s">
        <v>495</v>
      </c>
      <c r="J52" s="4" t="s">
        <v>28</v>
      </c>
      <c r="K52" s="4" t="s">
        <v>104</v>
      </c>
      <c r="L52" s="4" t="s">
        <v>496</v>
      </c>
      <c r="M52" s="4" t="s">
        <v>497</v>
      </c>
      <c r="N52" s="4" t="s">
        <v>498</v>
      </c>
      <c r="O52" s="4" t="s">
        <v>499</v>
      </c>
      <c r="P52" s="4" t="s">
        <v>500</v>
      </c>
      <c r="Q52" s="4" t="s">
        <v>35</v>
      </c>
      <c r="R52" s="4" t="s">
        <v>501</v>
      </c>
      <c r="S52" s="4" t="s">
        <v>502</v>
      </c>
      <c r="T52" s="4" t="s">
        <v>128</v>
      </c>
      <c r="U52" s="4">
        <v>6</v>
      </c>
      <c r="V52" s="4">
        <v>12</v>
      </c>
      <c r="W52" s="4">
        <v>18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52.5" thickBot="1">
      <c r="A53" s="4">
        <v>52</v>
      </c>
      <c r="B53" s="4" t="s">
        <v>503</v>
      </c>
      <c r="C53" s="4" t="s">
        <v>504</v>
      </c>
      <c r="D53" s="4">
        <v>4.8</v>
      </c>
      <c r="E53" s="4">
        <v>57</v>
      </c>
      <c r="F53" s="4" t="s">
        <v>35</v>
      </c>
      <c r="G53" s="4">
        <v>2005</v>
      </c>
      <c r="H53" s="4" t="s">
        <v>41</v>
      </c>
      <c r="I53" s="4" t="s">
        <v>505</v>
      </c>
      <c r="J53" s="4" t="s">
        <v>28</v>
      </c>
      <c r="K53" s="4" t="s">
        <v>122</v>
      </c>
      <c r="L53" s="4" t="s">
        <v>75</v>
      </c>
      <c r="M53" s="4" t="s">
        <v>506</v>
      </c>
      <c r="N53" s="4" t="s">
        <v>507</v>
      </c>
      <c r="O53" s="4" t="s">
        <v>508</v>
      </c>
      <c r="P53" s="3"/>
      <c r="Q53" s="4" t="s">
        <v>25</v>
      </c>
      <c r="R53" s="4" t="s">
        <v>509</v>
      </c>
      <c r="S53" s="4" t="s">
        <v>510</v>
      </c>
      <c r="T53" s="4" t="s">
        <v>511</v>
      </c>
      <c r="U53" s="4">
        <v>3</v>
      </c>
      <c r="V53" s="4">
        <v>3</v>
      </c>
      <c r="W53" s="4">
        <v>6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39.75" thickBot="1">
      <c r="A54" s="4">
        <v>53</v>
      </c>
      <c r="B54" s="4" t="s">
        <v>512</v>
      </c>
      <c r="C54" s="4" t="s">
        <v>513</v>
      </c>
      <c r="D54" s="4">
        <v>4.7</v>
      </c>
      <c r="E54" s="4">
        <v>15</v>
      </c>
      <c r="F54" s="4" t="s">
        <v>35</v>
      </c>
      <c r="G54" s="4">
        <v>2015</v>
      </c>
      <c r="H54" s="4" t="s">
        <v>205</v>
      </c>
      <c r="I54" s="4" t="s">
        <v>514</v>
      </c>
      <c r="J54" s="4" t="s">
        <v>28</v>
      </c>
      <c r="K54" s="4" t="s">
        <v>104</v>
      </c>
      <c r="L54" s="4" t="s">
        <v>444</v>
      </c>
      <c r="M54" s="4" t="s">
        <v>515</v>
      </c>
      <c r="N54" s="4" t="s">
        <v>516</v>
      </c>
      <c r="O54" s="4">
        <v>8801818064118</v>
      </c>
      <c r="P54" s="4" t="s">
        <v>517</v>
      </c>
      <c r="Q54" s="4" t="s">
        <v>35</v>
      </c>
      <c r="R54" s="4" t="s">
        <v>518</v>
      </c>
      <c r="S54" s="4" t="s">
        <v>519</v>
      </c>
      <c r="T54" s="4" t="s">
        <v>49</v>
      </c>
      <c r="U54" s="4">
        <v>4</v>
      </c>
      <c r="V54" s="4">
        <v>5</v>
      </c>
      <c r="W54" s="4">
        <v>9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78" thickBot="1">
      <c r="A55" s="4">
        <v>54</v>
      </c>
      <c r="B55" s="4" t="s">
        <v>520</v>
      </c>
      <c r="C55" s="4" t="s">
        <v>521</v>
      </c>
      <c r="D55" s="3"/>
      <c r="E55" s="3"/>
      <c r="F55" s="4" t="s">
        <v>25</v>
      </c>
      <c r="G55" s="4">
        <v>2014</v>
      </c>
      <c r="H55" s="4" t="s">
        <v>82</v>
      </c>
      <c r="I55" s="4" t="s">
        <v>522</v>
      </c>
      <c r="J55" s="4" t="s">
        <v>28</v>
      </c>
      <c r="K55" s="4" t="s">
        <v>122</v>
      </c>
      <c r="L55" s="4" t="s">
        <v>400</v>
      </c>
      <c r="M55" s="4" t="s">
        <v>523</v>
      </c>
      <c r="N55" s="4" t="s">
        <v>524</v>
      </c>
      <c r="O55" s="4" t="s">
        <v>525</v>
      </c>
      <c r="P55" s="3"/>
      <c r="Q55" s="4" t="s">
        <v>25</v>
      </c>
      <c r="R55" s="4" t="s">
        <v>526</v>
      </c>
      <c r="S55" s="4" t="s">
        <v>527</v>
      </c>
      <c r="T55" s="4" t="s">
        <v>528</v>
      </c>
      <c r="U55" s="4">
        <v>1</v>
      </c>
      <c r="V55" s="4">
        <v>2</v>
      </c>
      <c r="W55" s="4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90.75" thickBot="1">
      <c r="A56" s="4">
        <v>55</v>
      </c>
      <c r="B56" s="4" t="s">
        <v>529</v>
      </c>
      <c r="C56" s="4" t="s">
        <v>530</v>
      </c>
      <c r="D56" s="3"/>
      <c r="E56" s="3"/>
      <c r="F56" s="4" t="s">
        <v>25</v>
      </c>
      <c r="G56" s="4">
        <v>2014</v>
      </c>
      <c r="H56" s="4" t="s">
        <v>82</v>
      </c>
      <c r="I56" s="4" t="s">
        <v>531</v>
      </c>
      <c r="J56" s="4" t="s">
        <v>28</v>
      </c>
      <c r="K56" s="4" t="s">
        <v>122</v>
      </c>
      <c r="L56" s="4" t="s">
        <v>400</v>
      </c>
      <c r="M56" s="4" t="s">
        <v>532</v>
      </c>
      <c r="N56" s="4" t="s">
        <v>533</v>
      </c>
      <c r="O56" s="4" t="s">
        <v>534</v>
      </c>
      <c r="P56" s="3"/>
      <c r="Q56" s="4" t="s">
        <v>25</v>
      </c>
      <c r="R56" s="4" t="s">
        <v>535</v>
      </c>
      <c r="S56" s="4" t="s">
        <v>536</v>
      </c>
      <c r="T56" s="4" t="s">
        <v>537</v>
      </c>
      <c r="U56" s="4">
        <v>3</v>
      </c>
      <c r="V56" s="4">
        <v>1</v>
      </c>
      <c r="W56" s="4">
        <v>4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52.5" thickBot="1">
      <c r="A57" s="4">
        <v>56</v>
      </c>
      <c r="B57" s="4" t="s">
        <v>538</v>
      </c>
      <c r="C57" s="4" t="s">
        <v>539</v>
      </c>
      <c r="D57" s="4">
        <v>4.9000000000000004</v>
      </c>
      <c r="E57" s="4">
        <v>16</v>
      </c>
      <c r="F57" s="4" t="s">
        <v>35</v>
      </c>
      <c r="G57" s="4">
        <v>2008</v>
      </c>
      <c r="H57" s="4" t="s">
        <v>41</v>
      </c>
      <c r="I57" s="4" t="s">
        <v>540</v>
      </c>
      <c r="J57" s="4" t="s">
        <v>28</v>
      </c>
      <c r="K57" s="4" t="s">
        <v>226</v>
      </c>
      <c r="L57" s="4" t="s">
        <v>456</v>
      </c>
      <c r="M57" s="4" t="s">
        <v>541</v>
      </c>
      <c r="N57" s="4" t="s">
        <v>542</v>
      </c>
      <c r="O57" s="4" t="s">
        <v>543</v>
      </c>
      <c r="P57" s="4" t="s">
        <v>544</v>
      </c>
      <c r="Q57" s="4" t="s">
        <v>35</v>
      </c>
      <c r="R57" s="4" t="s">
        <v>545</v>
      </c>
      <c r="S57" s="4" t="s">
        <v>546</v>
      </c>
      <c r="T57" s="4" t="s">
        <v>547</v>
      </c>
      <c r="U57" s="4">
        <v>3</v>
      </c>
      <c r="V57" s="4">
        <v>2</v>
      </c>
      <c r="W57" s="4">
        <v>5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65.25" thickBot="1">
      <c r="A58" s="4">
        <v>57</v>
      </c>
      <c r="B58" s="4" t="s">
        <v>548</v>
      </c>
      <c r="C58" s="4" t="s">
        <v>549</v>
      </c>
      <c r="D58" s="4">
        <v>5</v>
      </c>
      <c r="E58" s="4">
        <v>3</v>
      </c>
      <c r="F58" s="4" t="s">
        <v>35</v>
      </c>
      <c r="G58" s="4">
        <v>2004</v>
      </c>
      <c r="H58" s="4" t="s">
        <v>151</v>
      </c>
      <c r="I58" s="4" t="s">
        <v>550</v>
      </c>
      <c r="J58" s="4" t="s">
        <v>28</v>
      </c>
      <c r="K58" s="4" t="s">
        <v>226</v>
      </c>
      <c r="L58" s="4" t="s">
        <v>456</v>
      </c>
      <c r="M58" s="4" t="s">
        <v>551</v>
      </c>
      <c r="N58" s="4" t="s">
        <v>552</v>
      </c>
      <c r="O58" s="4" t="s">
        <v>553</v>
      </c>
      <c r="P58" s="4" t="s">
        <v>554</v>
      </c>
      <c r="Q58" s="4" t="s">
        <v>35</v>
      </c>
      <c r="R58" s="4" t="s">
        <v>555</v>
      </c>
      <c r="S58" s="4" t="s">
        <v>556</v>
      </c>
      <c r="T58" s="4" t="s">
        <v>557</v>
      </c>
      <c r="U58" s="4">
        <v>1</v>
      </c>
      <c r="V58" s="4">
        <v>2</v>
      </c>
      <c r="W58" s="4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52.5" thickBot="1">
      <c r="A59" s="4">
        <v>58</v>
      </c>
      <c r="B59" s="4" t="s">
        <v>558</v>
      </c>
      <c r="C59" s="4" t="s">
        <v>559</v>
      </c>
      <c r="D59" s="4">
        <v>4</v>
      </c>
      <c r="E59" s="4">
        <v>3</v>
      </c>
      <c r="F59" s="4" t="s">
        <v>35</v>
      </c>
      <c r="G59" s="4">
        <v>1995</v>
      </c>
      <c r="H59" s="4" t="s">
        <v>26</v>
      </c>
      <c r="I59" s="4" t="s">
        <v>560</v>
      </c>
      <c r="J59" s="4" t="s">
        <v>28</v>
      </c>
      <c r="K59" s="4" t="s">
        <v>64</v>
      </c>
      <c r="L59" s="4" t="s">
        <v>561</v>
      </c>
      <c r="M59" s="4" t="s">
        <v>562</v>
      </c>
      <c r="N59" s="4"/>
      <c r="O59" s="4" t="s">
        <v>563</v>
      </c>
      <c r="P59" s="6" t="s">
        <v>564</v>
      </c>
      <c r="Q59" s="4" t="s">
        <v>35</v>
      </c>
      <c r="R59" s="4" t="s">
        <v>565</v>
      </c>
      <c r="S59" s="4" t="s">
        <v>566</v>
      </c>
      <c r="T59" s="4" t="s">
        <v>567</v>
      </c>
      <c r="U59" s="4">
        <v>0</v>
      </c>
      <c r="V59" s="4">
        <v>0</v>
      </c>
      <c r="W59" s="4">
        <v>0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52.5" thickBot="1">
      <c r="A60" s="4">
        <v>59</v>
      </c>
      <c r="B60" s="4" t="s">
        <v>568</v>
      </c>
      <c r="C60" s="4" t="s">
        <v>569</v>
      </c>
      <c r="D60" s="4">
        <v>5</v>
      </c>
      <c r="E60" s="4">
        <v>2</v>
      </c>
      <c r="F60" s="4" t="s">
        <v>35</v>
      </c>
      <c r="G60" s="4">
        <v>2014</v>
      </c>
      <c r="H60" s="4" t="s">
        <v>82</v>
      </c>
      <c r="I60" s="4" t="s">
        <v>570</v>
      </c>
      <c r="J60" s="4" t="s">
        <v>28</v>
      </c>
      <c r="K60" s="4" t="s">
        <v>64</v>
      </c>
      <c r="L60" s="4" t="s">
        <v>379</v>
      </c>
      <c r="M60" s="4" t="s">
        <v>571</v>
      </c>
      <c r="N60" s="4" t="s">
        <v>572</v>
      </c>
      <c r="O60" s="4" t="s">
        <v>573</v>
      </c>
      <c r="P60" s="6" t="s">
        <v>574</v>
      </c>
      <c r="Q60" s="4" t="s">
        <v>35</v>
      </c>
      <c r="R60" s="4" t="s">
        <v>565</v>
      </c>
      <c r="S60" s="4" t="s">
        <v>566</v>
      </c>
      <c r="T60" s="4" t="s">
        <v>575</v>
      </c>
      <c r="U60" s="4">
        <v>0</v>
      </c>
      <c r="V60" s="4">
        <v>0</v>
      </c>
      <c r="W60" s="4">
        <v>0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39.75" thickBot="1">
      <c r="A61" s="4">
        <v>60</v>
      </c>
      <c r="B61" s="4" t="s">
        <v>576</v>
      </c>
      <c r="C61" s="4" t="s">
        <v>577</v>
      </c>
      <c r="D61" s="3"/>
      <c r="E61" s="3"/>
      <c r="F61" s="4" t="s">
        <v>25</v>
      </c>
      <c r="G61" s="4">
        <v>1989</v>
      </c>
      <c r="H61" s="4" t="s">
        <v>311</v>
      </c>
      <c r="I61" s="4" t="s">
        <v>578</v>
      </c>
      <c r="J61" s="4" t="s">
        <v>28</v>
      </c>
      <c r="K61" s="4" t="s">
        <v>104</v>
      </c>
      <c r="L61" s="4" t="s">
        <v>370</v>
      </c>
      <c r="M61" s="4" t="s">
        <v>579</v>
      </c>
      <c r="N61" s="4" t="s">
        <v>580</v>
      </c>
      <c r="O61" s="4" t="s">
        <v>581</v>
      </c>
      <c r="P61" s="3"/>
      <c r="Q61" s="4" t="s">
        <v>25</v>
      </c>
      <c r="R61" s="4" t="s">
        <v>582</v>
      </c>
      <c r="S61" s="4" t="s">
        <v>583</v>
      </c>
      <c r="T61" s="4" t="s">
        <v>38</v>
      </c>
      <c r="U61" s="4">
        <v>6</v>
      </c>
      <c r="V61" s="4">
        <v>9</v>
      </c>
      <c r="W61" s="4">
        <v>15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52.5" thickBot="1">
      <c r="A62" s="4">
        <v>61</v>
      </c>
      <c r="B62" s="4" t="s">
        <v>584</v>
      </c>
      <c r="C62" s="4" t="s">
        <v>585</v>
      </c>
      <c r="D62" s="4">
        <v>4.8</v>
      </c>
      <c r="E62" s="4">
        <v>9</v>
      </c>
      <c r="F62" s="4" t="s">
        <v>35</v>
      </c>
      <c r="G62" s="4">
        <v>2009</v>
      </c>
      <c r="H62" s="4" t="s">
        <v>41</v>
      </c>
      <c r="I62" s="4" t="s">
        <v>586</v>
      </c>
      <c r="J62" s="4" t="s">
        <v>28</v>
      </c>
      <c r="K62" s="4" t="s">
        <v>141</v>
      </c>
      <c r="L62" s="4" t="s">
        <v>466</v>
      </c>
      <c r="M62" s="4" t="s">
        <v>587</v>
      </c>
      <c r="N62" s="4" t="s">
        <v>588</v>
      </c>
      <c r="O62" s="4" t="s">
        <v>589</v>
      </c>
      <c r="P62" s="3"/>
      <c r="Q62" s="4" t="s">
        <v>25</v>
      </c>
      <c r="R62" s="4" t="s">
        <v>590</v>
      </c>
      <c r="S62" s="4" t="s">
        <v>591</v>
      </c>
      <c r="T62" s="4" t="s">
        <v>592</v>
      </c>
      <c r="U62" s="4">
        <v>3</v>
      </c>
      <c r="V62" s="4">
        <v>2</v>
      </c>
      <c r="W62" s="4">
        <v>5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78" thickBot="1">
      <c r="A63" s="4">
        <v>62</v>
      </c>
      <c r="B63" s="4" t="s">
        <v>593</v>
      </c>
      <c r="C63" s="4" t="s">
        <v>594</v>
      </c>
      <c r="D63" s="4">
        <v>4</v>
      </c>
      <c r="E63" s="4">
        <v>56</v>
      </c>
      <c r="F63" s="4" t="s">
        <v>35</v>
      </c>
      <c r="G63" s="4">
        <v>2010</v>
      </c>
      <c r="H63" s="4" t="s">
        <v>82</v>
      </c>
      <c r="I63" s="4" t="s">
        <v>595</v>
      </c>
      <c r="J63" s="4" t="s">
        <v>28</v>
      </c>
      <c r="K63" s="4" t="s">
        <v>64</v>
      </c>
      <c r="L63" s="4" t="s">
        <v>370</v>
      </c>
      <c r="M63" s="4" t="s">
        <v>596</v>
      </c>
      <c r="N63" s="4" t="s">
        <v>597</v>
      </c>
      <c r="O63" s="4" t="s">
        <v>598</v>
      </c>
      <c r="P63" s="3"/>
      <c r="Q63" s="4" t="s">
        <v>25</v>
      </c>
      <c r="R63" s="4" t="s">
        <v>599</v>
      </c>
      <c r="S63" s="4" t="s">
        <v>600</v>
      </c>
      <c r="T63" s="4" t="s">
        <v>38</v>
      </c>
      <c r="U63" s="4">
        <v>10</v>
      </c>
      <c r="V63" s="4">
        <v>3</v>
      </c>
      <c r="W63" s="4">
        <v>13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52.5" thickBot="1">
      <c r="A64" s="4">
        <v>63</v>
      </c>
      <c r="B64" s="4" t="s">
        <v>601</v>
      </c>
      <c r="C64" s="4" t="s">
        <v>602</v>
      </c>
      <c r="D64" s="3"/>
      <c r="E64" s="3"/>
      <c r="F64" s="4" t="s">
        <v>25</v>
      </c>
      <c r="G64" s="4">
        <v>1999</v>
      </c>
      <c r="H64" s="4" t="s">
        <v>26</v>
      </c>
      <c r="I64" s="4" t="s">
        <v>603</v>
      </c>
      <c r="J64" s="4" t="s">
        <v>28</v>
      </c>
      <c r="K64" s="4" t="s">
        <v>122</v>
      </c>
      <c r="L64" s="4" t="s">
        <v>400</v>
      </c>
      <c r="M64" s="4" t="s">
        <v>604</v>
      </c>
      <c r="N64" s="4" t="s">
        <v>605</v>
      </c>
      <c r="O64" s="4" t="s">
        <v>606</v>
      </c>
      <c r="P64" s="4" t="s">
        <v>607</v>
      </c>
      <c r="Q64" s="4" t="s">
        <v>35</v>
      </c>
      <c r="R64" s="4" t="s">
        <v>608</v>
      </c>
      <c r="S64" s="4" t="s">
        <v>609</v>
      </c>
      <c r="T64" s="4" t="s">
        <v>49</v>
      </c>
      <c r="U64" s="4">
        <v>3</v>
      </c>
      <c r="V64" s="4">
        <v>1</v>
      </c>
      <c r="W64" s="4">
        <v>4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52.5" thickBot="1">
      <c r="A65" s="4">
        <v>64</v>
      </c>
      <c r="B65" s="4" t="s">
        <v>610</v>
      </c>
      <c r="C65" s="4" t="s">
        <v>611</v>
      </c>
      <c r="D65" s="4">
        <v>5</v>
      </c>
      <c r="E65" s="4">
        <v>1</v>
      </c>
      <c r="F65" s="4" t="s">
        <v>35</v>
      </c>
      <c r="G65" s="4">
        <v>2007</v>
      </c>
      <c r="H65" s="4" t="s">
        <v>41</v>
      </c>
      <c r="I65" s="4" t="s">
        <v>612</v>
      </c>
      <c r="J65" s="4" t="s">
        <v>28</v>
      </c>
      <c r="K65" s="4" t="s">
        <v>43</v>
      </c>
      <c r="L65" s="4" t="s">
        <v>613</v>
      </c>
      <c r="M65" s="4" t="s">
        <v>614</v>
      </c>
      <c r="N65" s="4" t="s">
        <v>615</v>
      </c>
      <c r="O65" s="4" t="s">
        <v>616</v>
      </c>
      <c r="P65" s="4" t="s">
        <v>617</v>
      </c>
      <c r="Q65" s="4" t="s">
        <v>35</v>
      </c>
      <c r="R65" s="4" t="s">
        <v>618</v>
      </c>
      <c r="S65" s="4" t="s">
        <v>619</v>
      </c>
      <c r="T65" s="4" t="s">
        <v>620</v>
      </c>
      <c r="U65" s="4">
        <v>2</v>
      </c>
      <c r="V65" s="4">
        <v>12</v>
      </c>
      <c r="W65" s="4">
        <v>14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52.5" thickBot="1">
      <c r="A66" s="4">
        <v>65</v>
      </c>
      <c r="B66" s="4" t="s">
        <v>621</v>
      </c>
      <c r="C66" s="4" t="s">
        <v>622</v>
      </c>
      <c r="D66" s="3"/>
      <c r="E66" s="3"/>
      <c r="F66" s="4" t="s">
        <v>25</v>
      </c>
      <c r="G66" s="4">
        <v>2011</v>
      </c>
      <c r="H66" s="4" t="s">
        <v>82</v>
      </c>
      <c r="I66" s="4" t="s">
        <v>623</v>
      </c>
      <c r="J66" s="4" t="s">
        <v>28</v>
      </c>
      <c r="K66" s="4" t="s">
        <v>43</v>
      </c>
      <c r="L66" s="4" t="s">
        <v>613</v>
      </c>
      <c r="M66" s="4" t="s">
        <v>624</v>
      </c>
      <c r="N66" s="4" t="s">
        <v>625</v>
      </c>
      <c r="O66" s="4">
        <v>8801970112299</v>
      </c>
      <c r="P66" s="3"/>
      <c r="Q66" s="4" t="s">
        <v>25</v>
      </c>
      <c r="R66" s="4" t="s">
        <v>626</v>
      </c>
      <c r="S66" s="4" t="s">
        <v>627</v>
      </c>
      <c r="T66" s="4" t="s">
        <v>49</v>
      </c>
      <c r="U66" s="4">
        <v>2</v>
      </c>
      <c r="V66" s="4">
        <v>4</v>
      </c>
      <c r="W66" s="4">
        <v>6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52.5" thickBot="1">
      <c r="A67" s="4">
        <v>66</v>
      </c>
      <c r="B67" s="4" t="s">
        <v>628</v>
      </c>
      <c r="C67" s="4" t="s">
        <v>629</v>
      </c>
      <c r="D67" s="3"/>
      <c r="E67" s="3"/>
      <c r="F67" s="4" t="s">
        <v>25</v>
      </c>
      <c r="G67" s="4">
        <v>1999</v>
      </c>
      <c r="H67" s="4" t="s">
        <v>26</v>
      </c>
      <c r="I67" s="4" t="s">
        <v>630</v>
      </c>
      <c r="J67" s="4" t="s">
        <v>170</v>
      </c>
      <c r="K67" s="4" t="s">
        <v>171</v>
      </c>
      <c r="L67" s="4" t="s">
        <v>172</v>
      </c>
      <c r="M67" s="4" t="s">
        <v>631</v>
      </c>
      <c r="N67" s="4" t="s">
        <v>632</v>
      </c>
      <c r="O67" s="4" t="s">
        <v>633</v>
      </c>
      <c r="P67" s="3"/>
      <c r="Q67" s="4" t="s">
        <v>25</v>
      </c>
      <c r="R67" s="4" t="s">
        <v>634</v>
      </c>
      <c r="S67" s="4" t="s">
        <v>635</v>
      </c>
      <c r="T67" s="4" t="s">
        <v>49</v>
      </c>
      <c r="U67" s="4">
        <v>3</v>
      </c>
      <c r="V67" s="4">
        <v>2</v>
      </c>
      <c r="W67" s="4">
        <v>5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65.25" thickBot="1">
      <c r="A68" s="4">
        <v>67</v>
      </c>
      <c r="B68" s="4" t="s">
        <v>636</v>
      </c>
      <c r="C68" s="4" t="s">
        <v>637</v>
      </c>
      <c r="D68" s="3"/>
      <c r="E68" s="3"/>
      <c r="F68" s="4" t="s">
        <v>25</v>
      </c>
      <c r="G68" s="4">
        <v>2009</v>
      </c>
      <c r="H68" s="4" t="s">
        <v>41</v>
      </c>
      <c r="I68" s="4" t="s">
        <v>638</v>
      </c>
      <c r="J68" s="4" t="s">
        <v>28</v>
      </c>
      <c r="K68" s="4" t="s">
        <v>226</v>
      </c>
      <c r="L68" s="4" t="s">
        <v>456</v>
      </c>
      <c r="M68" s="4" t="s">
        <v>639</v>
      </c>
      <c r="N68" s="4" t="s">
        <v>640</v>
      </c>
      <c r="O68" s="4" t="s">
        <v>641</v>
      </c>
      <c r="P68" s="4" t="s">
        <v>642</v>
      </c>
      <c r="Q68" s="4" t="s">
        <v>35</v>
      </c>
      <c r="R68" s="4" t="s">
        <v>643</v>
      </c>
      <c r="S68" s="4" t="s">
        <v>644</v>
      </c>
      <c r="T68" s="4" t="s">
        <v>157</v>
      </c>
      <c r="U68" s="4">
        <v>1</v>
      </c>
      <c r="V68" s="4">
        <v>4</v>
      </c>
      <c r="W68" s="4">
        <v>5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52.5" thickBot="1">
      <c r="A69" s="4">
        <v>68</v>
      </c>
      <c r="B69" s="4" t="s">
        <v>645</v>
      </c>
      <c r="C69" s="4" t="s">
        <v>646</v>
      </c>
      <c r="D69" s="4">
        <v>5</v>
      </c>
      <c r="E69" s="4">
        <v>1</v>
      </c>
      <c r="F69" s="4" t="s">
        <v>35</v>
      </c>
      <c r="G69" s="4">
        <v>2017</v>
      </c>
      <c r="H69" s="4" t="s">
        <v>205</v>
      </c>
      <c r="I69" s="4" t="s">
        <v>647</v>
      </c>
      <c r="J69" s="4" t="s">
        <v>28</v>
      </c>
      <c r="K69" s="4" t="s">
        <v>648</v>
      </c>
      <c r="L69" s="4" t="s">
        <v>649</v>
      </c>
      <c r="M69" s="4" t="s">
        <v>650</v>
      </c>
      <c r="N69" s="4" t="s">
        <v>651</v>
      </c>
      <c r="O69" s="4">
        <v>8801812807687</v>
      </c>
      <c r="P69" s="3"/>
      <c r="Q69" s="4" t="s">
        <v>25</v>
      </c>
      <c r="R69" s="4" t="s">
        <v>652</v>
      </c>
      <c r="S69" s="4" t="s">
        <v>653</v>
      </c>
      <c r="T69" s="4" t="s">
        <v>472</v>
      </c>
      <c r="U69" s="4">
        <v>1</v>
      </c>
      <c r="V69" s="4">
        <v>4</v>
      </c>
      <c r="W69" s="4">
        <v>5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65.25" thickBot="1">
      <c r="A70" s="4">
        <v>69</v>
      </c>
      <c r="B70" s="4" t="s">
        <v>654</v>
      </c>
      <c r="C70" s="4" t="s">
        <v>655</v>
      </c>
      <c r="D70" s="4">
        <v>4.5999999999999996</v>
      </c>
      <c r="E70" s="4">
        <v>14</v>
      </c>
      <c r="F70" s="4" t="s">
        <v>35</v>
      </c>
      <c r="G70" s="4">
        <v>2017</v>
      </c>
      <c r="H70" s="4" t="s">
        <v>205</v>
      </c>
      <c r="I70" s="4" t="s">
        <v>656</v>
      </c>
      <c r="J70" s="4" t="s">
        <v>28</v>
      </c>
      <c r="K70" s="4" t="s">
        <v>64</v>
      </c>
      <c r="L70" s="4" t="s">
        <v>379</v>
      </c>
      <c r="M70" s="4" t="s">
        <v>657</v>
      </c>
      <c r="N70" s="4" t="s">
        <v>658</v>
      </c>
      <c r="O70" s="4" t="s">
        <v>659</v>
      </c>
      <c r="P70" s="6" t="s">
        <v>660</v>
      </c>
      <c r="Q70" s="4" t="s">
        <v>35</v>
      </c>
      <c r="R70" s="4" t="s">
        <v>661</v>
      </c>
      <c r="S70" s="4" t="s">
        <v>662</v>
      </c>
      <c r="T70" s="4" t="s">
        <v>663</v>
      </c>
      <c r="U70" s="4">
        <v>5</v>
      </c>
      <c r="V70" s="4">
        <v>1</v>
      </c>
      <c r="W70" s="4">
        <v>6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65.25" thickBot="1">
      <c r="A71" s="4">
        <v>70</v>
      </c>
      <c r="B71" s="4" t="s">
        <v>664</v>
      </c>
      <c r="C71" s="4" t="s">
        <v>665</v>
      </c>
      <c r="D71" s="3"/>
      <c r="E71" s="3"/>
      <c r="F71" s="4" t="s">
        <v>25</v>
      </c>
      <c r="G71" s="4">
        <v>2019</v>
      </c>
      <c r="H71" s="4" t="s">
        <v>205</v>
      </c>
      <c r="I71" s="4" t="s">
        <v>666</v>
      </c>
      <c r="J71" s="4" t="s">
        <v>28</v>
      </c>
      <c r="K71" s="4" t="s">
        <v>64</v>
      </c>
      <c r="L71" s="4" t="s">
        <v>667</v>
      </c>
      <c r="M71" s="4" t="s">
        <v>668</v>
      </c>
      <c r="N71" s="4" t="s">
        <v>669</v>
      </c>
      <c r="O71" s="4" t="s">
        <v>670</v>
      </c>
      <c r="P71" s="3"/>
      <c r="Q71" s="4" t="s">
        <v>25</v>
      </c>
      <c r="R71" s="4" t="s">
        <v>671</v>
      </c>
      <c r="S71" s="4" t="s">
        <v>672</v>
      </c>
      <c r="T71" s="4" t="s">
        <v>49</v>
      </c>
      <c r="U71" s="4">
        <v>1</v>
      </c>
      <c r="V71" s="4">
        <v>0</v>
      </c>
      <c r="W71" s="4">
        <v>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78" thickBot="1">
      <c r="A72" s="4">
        <v>71</v>
      </c>
      <c r="B72" s="4" t="s">
        <v>673</v>
      </c>
      <c r="C72" s="4" t="s">
        <v>674</v>
      </c>
      <c r="D72" s="4">
        <v>4</v>
      </c>
      <c r="E72" s="4">
        <v>1</v>
      </c>
      <c r="F72" s="4" t="s">
        <v>35</v>
      </c>
      <c r="G72" s="4">
        <v>2003</v>
      </c>
      <c r="H72" s="4" t="s">
        <v>151</v>
      </c>
      <c r="I72" s="4" t="s">
        <v>675</v>
      </c>
      <c r="J72" s="4" t="s">
        <v>28</v>
      </c>
      <c r="K72" s="4" t="s">
        <v>226</v>
      </c>
      <c r="L72" s="4" t="s">
        <v>456</v>
      </c>
      <c r="M72" s="4" t="s">
        <v>676</v>
      </c>
      <c r="N72" s="4" t="s">
        <v>677</v>
      </c>
      <c r="O72" s="4" t="s">
        <v>678</v>
      </c>
      <c r="P72" s="3"/>
      <c r="Q72" s="4" t="s">
        <v>25</v>
      </c>
      <c r="R72" s="4" t="s">
        <v>679</v>
      </c>
      <c r="S72" s="4" t="s">
        <v>680</v>
      </c>
      <c r="T72" s="4" t="s">
        <v>38</v>
      </c>
      <c r="U72" s="4">
        <v>1</v>
      </c>
      <c r="V72" s="4">
        <v>3</v>
      </c>
      <c r="W72" s="4">
        <v>4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39.75" thickBot="1">
      <c r="A73" s="4">
        <v>72</v>
      </c>
      <c r="B73" s="4" t="s">
        <v>681</v>
      </c>
      <c r="C73" s="4" t="s">
        <v>682</v>
      </c>
      <c r="D73" s="4">
        <v>4.0999999999999996</v>
      </c>
      <c r="E73" s="4">
        <v>189</v>
      </c>
      <c r="F73" s="4" t="s">
        <v>35</v>
      </c>
      <c r="G73" s="4">
        <v>2010</v>
      </c>
      <c r="H73" s="4" t="s">
        <v>82</v>
      </c>
      <c r="I73" s="4" t="s">
        <v>683</v>
      </c>
      <c r="J73" s="4" t="s">
        <v>28</v>
      </c>
      <c r="K73" s="4" t="s">
        <v>122</v>
      </c>
      <c r="L73" s="4" t="s">
        <v>400</v>
      </c>
      <c r="M73" s="4" t="s">
        <v>684</v>
      </c>
      <c r="N73" s="4" t="s">
        <v>685</v>
      </c>
      <c r="O73" s="4" t="s">
        <v>686</v>
      </c>
      <c r="P73" s="3"/>
      <c r="Q73" s="4" t="s">
        <v>25</v>
      </c>
      <c r="R73" s="4" t="s">
        <v>687</v>
      </c>
      <c r="S73" s="4" t="s">
        <v>688</v>
      </c>
      <c r="T73" s="4" t="s">
        <v>49</v>
      </c>
      <c r="U73" s="4">
        <v>2</v>
      </c>
      <c r="V73" s="4">
        <v>3</v>
      </c>
      <c r="W73" s="4">
        <v>5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52.5" thickBot="1">
      <c r="A74" s="4">
        <v>73</v>
      </c>
      <c r="B74" s="4" t="s">
        <v>689</v>
      </c>
      <c r="C74" s="4" t="s">
        <v>690</v>
      </c>
      <c r="D74" s="4">
        <v>5</v>
      </c>
      <c r="E74" s="4">
        <v>1</v>
      </c>
      <c r="F74" s="4" t="s">
        <v>35</v>
      </c>
      <c r="G74" s="4">
        <v>1996</v>
      </c>
      <c r="H74" s="4" t="s">
        <v>26</v>
      </c>
      <c r="I74" s="4" t="s">
        <v>691</v>
      </c>
      <c r="J74" s="4" t="s">
        <v>28</v>
      </c>
      <c r="K74" s="4" t="s">
        <v>64</v>
      </c>
      <c r="L74" s="4" t="s">
        <v>65</v>
      </c>
      <c r="M74" s="4" t="s">
        <v>692</v>
      </c>
      <c r="N74" s="4" t="s">
        <v>693</v>
      </c>
      <c r="O74" s="4" t="s">
        <v>694</v>
      </c>
      <c r="P74" s="3"/>
      <c r="Q74" s="4" t="s">
        <v>25</v>
      </c>
      <c r="R74" s="4" t="s">
        <v>695</v>
      </c>
      <c r="S74" s="4" t="s">
        <v>696</v>
      </c>
      <c r="T74" s="4" t="s">
        <v>697</v>
      </c>
      <c r="U74" s="4">
        <v>3</v>
      </c>
      <c r="V74" s="4">
        <v>7</v>
      </c>
      <c r="W74" s="4">
        <v>10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65.25" thickBot="1">
      <c r="A75" s="4">
        <v>74</v>
      </c>
      <c r="B75" s="4" t="s">
        <v>698</v>
      </c>
      <c r="C75" s="4" t="s">
        <v>699</v>
      </c>
      <c r="D75" s="3"/>
      <c r="E75" s="3"/>
      <c r="F75" s="4" t="s">
        <v>25</v>
      </c>
      <c r="G75" s="4">
        <v>2014</v>
      </c>
      <c r="H75" s="4" t="s">
        <v>82</v>
      </c>
      <c r="I75" s="4" t="s">
        <v>700</v>
      </c>
      <c r="J75" s="4" t="s">
        <v>28</v>
      </c>
      <c r="K75" s="4" t="s">
        <v>226</v>
      </c>
      <c r="L75" s="4" t="s">
        <v>420</v>
      </c>
      <c r="M75" s="4" t="s">
        <v>701</v>
      </c>
      <c r="N75" s="4" t="s">
        <v>702</v>
      </c>
      <c r="O75" s="4">
        <v>8801819211608</v>
      </c>
      <c r="P75" s="3"/>
      <c r="Q75" s="4" t="s">
        <v>25</v>
      </c>
      <c r="R75" s="4" t="s">
        <v>703</v>
      </c>
      <c r="S75" s="4" t="s">
        <v>704</v>
      </c>
      <c r="T75" s="4" t="s">
        <v>49</v>
      </c>
      <c r="U75" s="4">
        <v>2</v>
      </c>
      <c r="V75" s="4">
        <v>0</v>
      </c>
      <c r="W75" s="4">
        <v>2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65.25" thickBot="1">
      <c r="A76" s="4">
        <v>75</v>
      </c>
      <c r="B76" s="4" t="s">
        <v>705</v>
      </c>
      <c r="C76" s="4" t="s">
        <v>706</v>
      </c>
      <c r="D76" s="4">
        <v>4.2</v>
      </c>
      <c r="E76" s="4">
        <v>5</v>
      </c>
      <c r="F76" s="4" t="s">
        <v>35</v>
      </c>
      <c r="G76" s="4">
        <v>2010</v>
      </c>
      <c r="H76" s="4" t="s">
        <v>82</v>
      </c>
      <c r="I76" s="4" t="s">
        <v>707</v>
      </c>
      <c r="J76" s="4" t="s">
        <v>28</v>
      </c>
      <c r="K76" s="4" t="s">
        <v>64</v>
      </c>
      <c r="L76" s="4" t="s">
        <v>379</v>
      </c>
      <c r="M76" s="4" t="s">
        <v>708</v>
      </c>
      <c r="N76" s="4" t="s">
        <v>709</v>
      </c>
      <c r="O76" s="4">
        <v>8801715005352</v>
      </c>
      <c r="P76" s="4" t="s">
        <v>710</v>
      </c>
      <c r="Q76" s="4" t="s">
        <v>35</v>
      </c>
      <c r="R76" s="4" t="s">
        <v>711</v>
      </c>
      <c r="S76" s="4" t="s">
        <v>712</v>
      </c>
      <c r="T76" s="4" t="s">
        <v>713</v>
      </c>
      <c r="U76" s="4">
        <v>2</v>
      </c>
      <c r="V76" s="4">
        <v>1</v>
      </c>
      <c r="W76" s="4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78" thickBot="1">
      <c r="A77" s="4">
        <v>76</v>
      </c>
      <c r="B77" s="4" t="s">
        <v>714</v>
      </c>
      <c r="C77" s="4" t="s">
        <v>715</v>
      </c>
      <c r="D77" s="4">
        <v>5</v>
      </c>
      <c r="E77" s="4">
        <v>6</v>
      </c>
      <c r="F77" s="4" t="s">
        <v>35</v>
      </c>
      <c r="G77" s="4">
        <v>2010</v>
      </c>
      <c r="H77" s="4" t="s">
        <v>82</v>
      </c>
      <c r="I77" s="4" t="s">
        <v>716</v>
      </c>
      <c r="J77" s="4" t="s">
        <v>28</v>
      </c>
      <c r="K77" s="4" t="s">
        <v>122</v>
      </c>
      <c r="L77" s="4" t="s">
        <v>400</v>
      </c>
      <c r="M77" s="4" t="s">
        <v>717</v>
      </c>
      <c r="N77" s="4" t="s">
        <v>718</v>
      </c>
      <c r="O77" s="4">
        <v>8801711577032</v>
      </c>
      <c r="P77" s="6" t="s">
        <v>719</v>
      </c>
      <c r="Q77" s="4" t="s">
        <v>35</v>
      </c>
      <c r="R77" s="4" t="s">
        <v>720</v>
      </c>
      <c r="S77" s="4" t="s">
        <v>721</v>
      </c>
      <c r="T77" s="4" t="s">
        <v>49</v>
      </c>
      <c r="U77" s="4">
        <v>6</v>
      </c>
      <c r="V77" s="4">
        <v>1</v>
      </c>
      <c r="W77" s="4">
        <v>7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52.5" thickBot="1">
      <c r="A78" s="4">
        <v>77</v>
      </c>
      <c r="B78" s="4" t="s">
        <v>722</v>
      </c>
      <c r="C78" s="4" t="s">
        <v>723</v>
      </c>
      <c r="D78" s="4">
        <v>4.8</v>
      </c>
      <c r="E78" s="4">
        <v>37</v>
      </c>
      <c r="F78" s="4" t="s">
        <v>35</v>
      </c>
      <c r="G78" s="4">
        <v>2017</v>
      </c>
      <c r="H78" s="4" t="s">
        <v>205</v>
      </c>
      <c r="I78" s="4" t="s">
        <v>724</v>
      </c>
      <c r="J78" s="4" t="s">
        <v>28</v>
      </c>
      <c r="K78" s="4" t="s">
        <v>122</v>
      </c>
      <c r="L78" s="4" t="s">
        <v>456</v>
      </c>
      <c r="M78" s="4" t="s">
        <v>725</v>
      </c>
      <c r="N78" s="4" t="s">
        <v>726</v>
      </c>
      <c r="O78" s="4" t="s">
        <v>727</v>
      </c>
      <c r="P78" s="6" t="s">
        <v>728</v>
      </c>
      <c r="Q78" s="4" t="s">
        <v>35</v>
      </c>
      <c r="R78" s="4" t="s">
        <v>729</v>
      </c>
      <c r="S78" s="4" t="s">
        <v>730</v>
      </c>
      <c r="T78" s="4" t="s">
        <v>731</v>
      </c>
      <c r="U78" s="4">
        <v>7</v>
      </c>
      <c r="V78" s="4">
        <v>1</v>
      </c>
      <c r="W78" s="4">
        <v>8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03.5" thickBot="1">
      <c r="A79" s="4">
        <v>78</v>
      </c>
      <c r="B79" s="4" t="s">
        <v>732</v>
      </c>
      <c r="C79" s="4" t="s">
        <v>733</v>
      </c>
      <c r="D79" s="4">
        <v>2.5</v>
      </c>
      <c r="E79" s="4">
        <v>2</v>
      </c>
      <c r="F79" s="4" t="s">
        <v>35</v>
      </c>
      <c r="G79" s="4">
        <v>2020</v>
      </c>
      <c r="H79" s="4" t="s">
        <v>734</v>
      </c>
      <c r="I79" s="4" t="s">
        <v>735</v>
      </c>
      <c r="J79" s="4" t="s">
        <v>28</v>
      </c>
      <c r="K79" s="4" t="s">
        <v>736</v>
      </c>
      <c r="L79" s="4" t="s">
        <v>737</v>
      </c>
      <c r="M79" s="4" t="s">
        <v>738</v>
      </c>
      <c r="N79" s="4" t="s">
        <v>739</v>
      </c>
      <c r="O79" s="4" t="s">
        <v>740</v>
      </c>
      <c r="P79" s="3"/>
      <c r="Q79" s="4" t="s">
        <v>25</v>
      </c>
      <c r="R79" s="4" t="s">
        <v>741</v>
      </c>
      <c r="S79" s="4" t="s">
        <v>742</v>
      </c>
      <c r="T79" s="4" t="s">
        <v>38</v>
      </c>
      <c r="U79" s="4">
        <v>3</v>
      </c>
      <c r="V79" s="4">
        <v>0</v>
      </c>
      <c r="W79" s="4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65.25" thickBot="1">
      <c r="A80" s="4">
        <v>79</v>
      </c>
      <c r="B80" s="4" t="s">
        <v>743</v>
      </c>
      <c r="C80" s="4" t="s">
        <v>744</v>
      </c>
      <c r="D80" s="4">
        <v>4.5999999999999996</v>
      </c>
      <c r="E80" s="4">
        <v>58</v>
      </c>
      <c r="F80" s="4" t="s">
        <v>35</v>
      </c>
      <c r="G80" s="4">
        <v>2005</v>
      </c>
      <c r="H80" s="4" t="s">
        <v>41</v>
      </c>
      <c r="I80" s="4" t="s">
        <v>745</v>
      </c>
      <c r="J80" s="4" t="s">
        <v>28</v>
      </c>
      <c r="K80" s="4" t="s">
        <v>64</v>
      </c>
      <c r="L80" s="4" t="s">
        <v>370</v>
      </c>
      <c r="M80" s="4" t="s">
        <v>746</v>
      </c>
      <c r="N80" s="4" t="s">
        <v>747</v>
      </c>
      <c r="O80" s="4" t="s">
        <v>748</v>
      </c>
      <c r="P80" s="4" t="s">
        <v>749</v>
      </c>
      <c r="Q80" s="4" t="s">
        <v>35</v>
      </c>
      <c r="R80" s="4" t="s">
        <v>750</v>
      </c>
      <c r="S80" s="4" t="s">
        <v>751</v>
      </c>
      <c r="T80" s="4" t="s">
        <v>752</v>
      </c>
      <c r="U80" s="4">
        <v>13</v>
      </c>
      <c r="V80" s="4">
        <v>3</v>
      </c>
      <c r="W80" s="4">
        <v>16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65.25" thickBot="1">
      <c r="A81" s="4">
        <v>80</v>
      </c>
      <c r="B81" s="4" t="s">
        <v>753</v>
      </c>
      <c r="C81" s="4" t="s">
        <v>754</v>
      </c>
      <c r="D81" s="3"/>
      <c r="E81" s="3"/>
      <c r="F81" s="4" t="s">
        <v>25</v>
      </c>
      <c r="G81" s="4">
        <v>2009</v>
      </c>
      <c r="H81" s="4" t="s">
        <v>41</v>
      </c>
      <c r="I81" s="4" t="s">
        <v>755</v>
      </c>
      <c r="J81" s="4" t="s">
        <v>28</v>
      </c>
      <c r="K81" s="4" t="s">
        <v>756</v>
      </c>
      <c r="L81" s="4" t="s">
        <v>84</v>
      </c>
      <c r="M81" s="4" t="s">
        <v>757</v>
      </c>
      <c r="N81" s="4" t="s">
        <v>758</v>
      </c>
      <c r="O81" s="4" t="s">
        <v>759</v>
      </c>
      <c r="P81" s="3"/>
      <c r="Q81" s="4" t="s">
        <v>25</v>
      </c>
      <c r="R81" s="4" t="s">
        <v>760</v>
      </c>
      <c r="S81" s="4" t="s">
        <v>761</v>
      </c>
      <c r="T81" s="4" t="s">
        <v>762</v>
      </c>
      <c r="U81" s="4">
        <v>1</v>
      </c>
      <c r="V81" s="4">
        <v>2</v>
      </c>
      <c r="W81" s="4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65.25" thickBot="1">
      <c r="A82" s="4">
        <v>81</v>
      </c>
      <c r="B82" s="4" t="s">
        <v>763</v>
      </c>
      <c r="C82" s="4" t="s">
        <v>764</v>
      </c>
      <c r="D82" s="4">
        <v>4.8</v>
      </c>
      <c r="E82" s="4">
        <v>8</v>
      </c>
      <c r="F82" s="4" t="s">
        <v>35</v>
      </c>
      <c r="G82" s="4">
        <v>2007</v>
      </c>
      <c r="H82" s="4" t="s">
        <v>41</v>
      </c>
      <c r="I82" s="4" t="s">
        <v>765</v>
      </c>
      <c r="J82" s="4" t="s">
        <v>28</v>
      </c>
      <c r="K82" s="4" t="s">
        <v>64</v>
      </c>
      <c r="L82" s="4" t="s">
        <v>379</v>
      </c>
      <c r="M82" s="4" t="s">
        <v>766</v>
      </c>
      <c r="N82" s="4" t="s">
        <v>767</v>
      </c>
      <c r="O82" s="4" t="s">
        <v>768</v>
      </c>
      <c r="P82" s="4" t="s">
        <v>769</v>
      </c>
      <c r="Q82" s="4" t="s">
        <v>35</v>
      </c>
      <c r="R82" s="4" t="s">
        <v>770</v>
      </c>
      <c r="S82" s="4" t="s">
        <v>771</v>
      </c>
      <c r="T82" s="4" t="s">
        <v>772</v>
      </c>
      <c r="U82" s="4">
        <v>4</v>
      </c>
      <c r="V82" s="4">
        <v>5</v>
      </c>
      <c r="W82" s="4">
        <v>9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52.5" thickBot="1">
      <c r="A83" s="4">
        <v>82</v>
      </c>
      <c r="B83" s="4" t="s">
        <v>773</v>
      </c>
      <c r="C83" s="4" t="s">
        <v>774</v>
      </c>
      <c r="D83" s="3"/>
      <c r="E83" s="3"/>
      <c r="F83" s="4" t="s">
        <v>25</v>
      </c>
      <c r="G83" s="4">
        <v>2005</v>
      </c>
      <c r="H83" s="4" t="s">
        <v>41</v>
      </c>
      <c r="I83" s="4" t="s">
        <v>775</v>
      </c>
      <c r="J83" s="4" t="s">
        <v>28</v>
      </c>
      <c r="K83" s="4" t="s">
        <v>226</v>
      </c>
      <c r="L83" s="4" t="s">
        <v>456</v>
      </c>
      <c r="M83" s="4" t="s">
        <v>776</v>
      </c>
      <c r="N83" s="4" t="s">
        <v>777</v>
      </c>
      <c r="O83" s="4" t="s">
        <v>778</v>
      </c>
      <c r="P83" s="4" t="s">
        <v>779</v>
      </c>
      <c r="Q83" s="4" t="s">
        <v>35</v>
      </c>
      <c r="R83" s="4" t="s">
        <v>780</v>
      </c>
      <c r="S83" s="4" t="s">
        <v>781</v>
      </c>
      <c r="T83" s="4" t="s">
        <v>472</v>
      </c>
      <c r="U83" s="4">
        <v>1</v>
      </c>
      <c r="V83" s="4">
        <v>6</v>
      </c>
      <c r="W83" s="4">
        <v>7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52.5" thickBot="1">
      <c r="A84" s="4">
        <v>83</v>
      </c>
      <c r="B84" s="4" t="s">
        <v>782</v>
      </c>
      <c r="C84" s="4" t="s">
        <v>783</v>
      </c>
      <c r="D84" s="4">
        <v>5</v>
      </c>
      <c r="E84" s="4">
        <v>1</v>
      </c>
      <c r="F84" s="4" t="s">
        <v>35</v>
      </c>
      <c r="G84" s="4">
        <v>2014</v>
      </c>
      <c r="H84" s="4" t="s">
        <v>82</v>
      </c>
      <c r="I84" s="4" t="s">
        <v>784</v>
      </c>
      <c r="J84" s="4" t="s">
        <v>28</v>
      </c>
      <c r="K84" s="4" t="s">
        <v>226</v>
      </c>
      <c r="L84" s="4" t="s">
        <v>456</v>
      </c>
      <c r="M84" s="4" t="s">
        <v>785</v>
      </c>
      <c r="N84" s="4" t="s">
        <v>786</v>
      </c>
      <c r="O84" s="4" t="s">
        <v>787</v>
      </c>
      <c r="P84" s="4" t="s">
        <v>788</v>
      </c>
      <c r="Q84" s="4" t="s">
        <v>35</v>
      </c>
      <c r="R84" s="4" t="s">
        <v>789</v>
      </c>
      <c r="S84" s="4" t="s">
        <v>790</v>
      </c>
      <c r="T84" s="4" t="s">
        <v>327</v>
      </c>
      <c r="U84" s="4">
        <v>3</v>
      </c>
      <c r="V84" s="4">
        <v>3</v>
      </c>
      <c r="W84" s="4">
        <v>6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65.25" thickBot="1">
      <c r="A85" s="4">
        <v>84</v>
      </c>
      <c r="B85" s="4" t="s">
        <v>791</v>
      </c>
      <c r="C85" s="4" t="s">
        <v>792</v>
      </c>
      <c r="D85" s="3"/>
      <c r="E85" s="3"/>
      <c r="F85" s="4" t="s">
        <v>25</v>
      </c>
      <c r="G85" s="4">
        <v>2000</v>
      </c>
      <c r="H85" s="4" t="s">
        <v>151</v>
      </c>
      <c r="I85" s="4" t="s">
        <v>793</v>
      </c>
      <c r="J85" s="4" t="s">
        <v>28</v>
      </c>
      <c r="K85" s="4" t="s">
        <v>64</v>
      </c>
      <c r="L85" s="4" t="s">
        <v>379</v>
      </c>
      <c r="M85" s="4" t="s">
        <v>794</v>
      </c>
      <c r="N85" s="4" t="s">
        <v>795</v>
      </c>
      <c r="O85" s="4" t="s">
        <v>796</v>
      </c>
      <c r="P85" s="3"/>
      <c r="Q85" s="4" t="s">
        <v>25</v>
      </c>
      <c r="R85" s="4" t="s">
        <v>797</v>
      </c>
      <c r="S85" s="4" t="s">
        <v>798</v>
      </c>
      <c r="T85" s="4" t="s">
        <v>38</v>
      </c>
      <c r="U85" s="4">
        <v>4</v>
      </c>
      <c r="V85" s="4">
        <v>2</v>
      </c>
      <c r="W85" s="4">
        <v>6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52.5" thickBot="1">
      <c r="A86" s="4">
        <v>85</v>
      </c>
      <c r="B86" s="4" t="s">
        <v>799</v>
      </c>
      <c r="C86" s="4" t="s">
        <v>800</v>
      </c>
      <c r="D86" s="3"/>
      <c r="E86" s="3"/>
      <c r="F86" s="4" t="s">
        <v>25</v>
      </c>
      <c r="G86" s="4">
        <v>2019</v>
      </c>
      <c r="H86" s="4" t="s">
        <v>205</v>
      </c>
      <c r="I86" s="4" t="s">
        <v>801</v>
      </c>
      <c r="J86" s="4" t="s">
        <v>28</v>
      </c>
      <c r="K86" s="4" t="s">
        <v>104</v>
      </c>
      <c r="L86" s="4" t="s">
        <v>84</v>
      </c>
      <c r="M86" s="4" t="s">
        <v>802</v>
      </c>
      <c r="N86" s="4" t="s">
        <v>803</v>
      </c>
      <c r="O86" s="4" t="s">
        <v>804</v>
      </c>
      <c r="P86" s="3"/>
      <c r="Q86" s="4" t="s">
        <v>25</v>
      </c>
      <c r="R86" s="4" t="s">
        <v>805</v>
      </c>
      <c r="S86" s="4" t="s">
        <v>806</v>
      </c>
      <c r="T86" s="4" t="s">
        <v>111</v>
      </c>
      <c r="U86" s="4">
        <v>2</v>
      </c>
      <c r="V86" s="4">
        <v>0</v>
      </c>
      <c r="W86" s="4">
        <v>2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65.25" thickBot="1">
      <c r="A87" s="4">
        <v>86</v>
      </c>
      <c r="B87" s="4" t="s">
        <v>807</v>
      </c>
      <c r="C87" s="4" t="s">
        <v>808</v>
      </c>
      <c r="D87" s="3"/>
      <c r="E87" s="3"/>
      <c r="F87" s="4" t="s">
        <v>25</v>
      </c>
      <c r="G87" s="4">
        <v>2000</v>
      </c>
      <c r="H87" s="4" t="s">
        <v>151</v>
      </c>
      <c r="I87" s="4" t="s">
        <v>809</v>
      </c>
      <c r="J87" s="4" t="s">
        <v>28</v>
      </c>
      <c r="K87" s="4" t="s">
        <v>64</v>
      </c>
      <c r="L87" s="4" t="s">
        <v>379</v>
      </c>
      <c r="M87" s="4" t="s">
        <v>810</v>
      </c>
      <c r="N87" s="4" t="s">
        <v>811</v>
      </c>
      <c r="O87" s="4">
        <v>8801191557292</v>
      </c>
      <c r="P87" s="3"/>
      <c r="Q87" s="4" t="s">
        <v>25</v>
      </c>
      <c r="R87" s="4" t="s">
        <v>812</v>
      </c>
      <c r="S87" s="4" t="s">
        <v>813</v>
      </c>
      <c r="T87" s="4" t="s">
        <v>49</v>
      </c>
      <c r="U87" s="4">
        <v>1</v>
      </c>
      <c r="V87" s="4">
        <v>7</v>
      </c>
      <c r="W87" s="4">
        <v>8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39.75" thickBot="1">
      <c r="A88" s="4">
        <v>87</v>
      </c>
      <c r="B88" s="4" t="s">
        <v>814</v>
      </c>
      <c r="C88" s="4" t="s">
        <v>815</v>
      </c>
      <c r="D88" s="4">
        <v>4.3</v>
      </c>
      <c r="E88" s="4">
        <v>23</v>
      </c>
      <c r="F88" s="4" t="s">
        <v>35</v>
      </c>
      <c r="G88" s="4">
        <v>2000</v>
      </c>
      <c r="H88" s="4" t="s">
        <v>151</v>
      </c>
      <c r="I88" s="4" t="s">
        <v>816</v>
      </c>
      <c r="J88" s="4" t="s">
        <v>28</v>
      </c>
      <c r="K88" s="4" t="s">
        <v>94</v>
      </c>
      <c r="L88" s="4" t="s">
        <v>420</v>
      </c>
      <c r="M88" s="4" t="s">
        <v>817</v>
      </c>
      <c r="N88" s="4" t="s">
        <v>818</v>
      </c>
      <c r="O88" s="4" t="s">
        <v>819</v>
      </c>
      <c r="P88" s="6" t="s">
        <v>820</v>
      </c>
      <c r="Q88" s="4" t="s">
        <v>35</v>
      </c>
      <c r="R88" s="4" t="s">
        <v>821</v>
      </c>
      <c r="S88" s="4" t="s">
        <v>822</v>
      </c>
      <c r="T88" s="4" t="s">
        <v>472</v>
      </c>
      <c r="U88" s="4">
        <v>1</v>
      </c>
      <c r="V88" s="4">
        <v>3</v>
      </c>
      <c r="W88" s="4">
        <v>4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65.25" thickBot="1">
      <c r="A89" s="4">
        <v>88</v>
      </c>
      <c r="B89" s="4" t="s">
        <v>823</v>
      </c>
      <c r="C89" s="4" t="s">
        <v>824</v>
      </c>
      <c r="D89" s="4">
        <v>4.5</v>
      </c>
      <c r="E89" s="4">
        <v>2</v>
      </c>
      <c r="F89" s="4" t="s">
        <v>35</v>
      </c>
      <c r="G89" s="4">
        <v>2014</v>
      </c>
      <c r="H89" s="4" t="s">
        <v>82</v>
      </c>
      <c r="I89" s="4" t="s">
        <v>825</v>
      </c>
      <c r="J89" s="4" t="s">
        <v>28</v>
      </c>
      <c r="K89" s="4" t="s">
        <v>64</v>
      </c>
      <c r="L89" s="4" t="s">
        <v>370</v>
      </c>
      <c r="M89" s="4" t="s">
        <v>826</v>
      </c>
      <c r="N89" s="4" t="s">
        <v>827</v>
      </c>
      <c r="O89" s="4" t="s">
        <v>828</v>
      </c>
      <c r="P89" s="6" t="s">
        <v>829</v>
      </c>
      <c r="Q89" s="4" t="s">
        <v>35</v>
      </c>
      <c r="R89" s="4" t="s">
        <v>830</v>
      </c>
      <c r="S89" s="4" t="s">
        <v>831</v>
      </c>
      <c r="T89" s="4" t="s">
        <v>832</v>
      </c>
      <c r="U89" s="4">
        <v>10</v>
      </c>
      <c r="V89" s="4">
        <v>0</v>
      </c>
      <c r="W89" s="4">
        <v>10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52.5" thickBot="1">
      <c r="A90" s="4">
        <v>89</v>
      </c>
      <c r="B90" s="4" t="s">
        <v>833</v>
      </c>
      <c r="C90" s="4" t="s">
        <v>834</v>
      </c>
      <c r="D90" s="4">
        <v>4.5</v>
      </c>
      <c r="E90" s="4">
        <v>10</v>
      </c>
      <c r="F90" s="4" t="s">
        <v>35</v>
      </c>
      <c r="G90" s="4">
        <v>2007</v>
      </c>
      <c r="H90" s="4" t="s">
        <v>41</v>
      </c>
      <c r="I90" s="4" t="s">
        <v>835</v>
      </c>
      <c r="J90" s="4" t="s">
        <v>28</v>
      </c>
      <c r="K90" s="4" t="s">
        <v>104</v>
      </c>
      <c r="L90" s="4" t="s">
        <v>444</v>
      </c>
      <c r="M90" s="4" t="s">
        <v>836</v>
      </c>
      <c r="N90" s="4" t="s">
        <v>837</v>
      </c>
      <c r="O90" s="4" t="s">
        <v>616</v>
      </c>
      <c r="P90" s="4" t="s">
        <v>838</v>
      </c>
      <c r="Q90" s="4" t="s">
        <v>35</v>
      </c>
      <c r="R90" s="4" t="s">
        <v>839</v>
      </c>
      <c r="S90" s="4" t="s">
        <v>840</v>
      </c>
      <c r="T90" s="4" t="s">
        <v>663</v>
      </c>
      <c r="U90" s="4">
        <v>5</v>
      </c>
      <c r="V90" s="4">
        <v>18</v>
      </c>
      <c r="W90" s="4">
        <v>23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78" thickBot="1">
      <c r="A91" s="4">
        <v>90</v>
      </c>
      <c r="B91" s="4" t="s">
        <v>841</v>
      </c>
      <c r="C91" s="4" t="s">
        <v>842</v>
      </c>
      <c r="D91" s="4">
        <v>4.8</v>
      </c>
      <c r="E91" s="4">
        <v>5</v>
      </c>
      <c r="F91" s="4" t="s">
        <v>35</v>
      </c>
      <c r="G91" s="4">
        <v>2009</v>
      </c>
      <c r="H91" s="4" t="s">
        <v>41</v>
      </c>
      <c r="I91" s="4" t="s">
        <v>843</v>
      </c>
      <c r="J91" s="4" t="s">
        <v>28</v>
      </c>
      <c r="K91" s="4" t="s">
        <v>122</v>
      </c>
      <c r="L91" s="4" t="s">
        <v>400</v>
      </c>
      <c r="M91" s="4" t="s">
        <v>844</v>
      </c>
      <c r="N91" s="4" t="s">
        <v>845</v>
      </c>
      <c r="O91" s="4">
        <v>8801912137212</v>
      </c>
      <c r="P91" s="3"/>
      <c r="Q91" s="4" t="s">
        <v>25</v>
      </c>
      <c r="R91" s="4" t="s">
        <v>846</v>
      </c>
      <c r="S91" s="4" t="s">
        <v>847</v>
      </c>
      <c r="T91" s="4" t="s">
        <v>128</v>
      </c>
      <c r="U91" s="4">
        <v>5</v>
      </c>
      <c r="V91" s="4">
        <v>0</v>
      </c>
      <c r="W91" s="4">
        <v>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65.25" thickBot="1">
      <c r="A92" s="4">
        <v>91</v>
      </c>
      <c r="B92" s="4" t="s">
        <v>848</v>
      </c>
      <c r="C92" s="4" t="s">
        <v>849</v>
      </c>
      <c r="D92" s="4">
        <v>4.4000000000000004</v>
      </c>
      <c r="E92" s="4">
        <v>5</v>
      </c>
      <c r="F92" s="4" t="s">
        <v>35</v>
      </c>
      <c r="G92" s="4">
        <v>2006</v>
      </c>
      <c r="H92" s="4" t="s">
        <v>41</v>
      </c>
      <c r="I92" s="4" t="s">
        <v>850</v>
      </c>
      <c r="J92" s="4" t="s">
        <v>28</v>
      </c>
      <c r="K92" s="4" t="s">
        <v>104</v>
      </c>
      <c r="L92" s="4" t="s">
        <v>444</v>
      </c>
      <c r="M92" s="4" t="s">
        <v>851</v>
      </c>
      <c r="N92" s="4" t="s">
        <v>852</v>
      </c>
      <c r="O92" s="4" t="s">
        <v>853</v>
      </c>
      <c r="P92" s="6" t="s">
        <v>854</v>
      </c>
      <c r="Q92" s="4" t="s">
        <v>35</v>
      </c>
      <c r="R92" s="4" t="s">
        <v>855</v>
      </c>
      <c r="S92" s="4" t="s">
        <v>856</v>
      </c>
      <c r="T92" s="4" t="s">
        <v>49</v>
      </c>
      <c r="U92" s="4">
        <v>0</v>
      </c>
      <c r="V92" s="4">
        <v>0</v>
      </c>
      <c r="W92" s="4">
        <v>0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52.5" thickBot="1">
      <c r="A93" s="4">
        <v>92</v>
      </c>
      <c r="B93" s="4" t="s">
        <v>857</v>
      </c>
      <c r="C93" s="4" t="s">
        <v>858</v>
      </c>
      <c r="D93" s="4">
        <v>5</v>
      </c>
      <c r="E93" s="4">
        <v>13</v>
      </c>
      <c r="F93" s="4" t="s">
        <v>35</v>
      </c>
      <c r="G93" s="4">
        <v>2008</v>
      </c>
      <c r="H93" s="4" t="s">
        <v>41</v>
      </c>
      <c r="I93" s="4" t="s">
        <v>859</v>
      </c>
      <c r="J93" s="4" t="s">
        <v>28</v>
      </c>
      <c r="K93" s="4" t="s">
        <v>860</v>
      </c>
      <c r="L93" s="4" t="s">
        <v>861</v>
      </c>
      <c r="M93" s="4" t="s">
        <v>862</v>
      </c>
      <c r="N93" s="4" t="s">
        <v>863</v>
      </c>
      <c r="O93" s="4" t="s">
        <v>864</v>
      </c>
      <c r="P93" s="4" t="s">
        <v>865</v>
      </c>
      <c r="Q93" s="4" t="s">
        <v>35</v>
      </c>
      <c r="R93" s="4" t="s">
        <v>866</v>
      </c>
      <c r="S93" s="4" t="s">
        <v>867</v>
      </c>
      <c r="T93" s="4" t="s">
        <v>38</v>
      </c>
      <c r="U93" s="4">
        <v>4</v>
      </c>
      <c r="V93" s="4">
        <v>3</v>
      </c>
      <c r="W93" s="4">
        <v>7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52.5" thickBot="1">
      <c r="A94" s="4">
        <v>93</v>
      </c>
      <c r="B94" s="4" t="s">
        <v>868</v>
      </c>
      <c r="C94" s="4" t="s">
        <v>869</v>
      </c>
      <c r="D94" s="3"/>
      <c r="E94" s="3"/>
      <c r="F94" s="4" t="s">
        <v>25</v>
      </c>
      <c r="G94" s="4">
        <v>2008</v>
      </c>
      <c r="H94" s="4" t="s">
        <v>41</v>
      </c>
      <c r="I94" s="4" t="s">
        <v>870</v>
      </c>
      <c r="J94" s="4" t="s">
        <v>28</v>
      </c>
      <c r="K94" s="4" t="s">
        <v>94</v>
      </c>
      <c r="L94" s="4" t="s">
        <v>420</v>
      </c>
      <c r="M94" s="4" t="s">
        <v>871</v>
      </c>
      <c r="N94" s="4" t="s">
        <v>872</v>
      </c>
      <c r="O94" s="4" t="s">
        <v>873</v>
      </c>
      <c r="P94" s="4" t="s">
        <v>874</v>
      </c>
      <c r="Q94" s="4" t="s">
        <v>35</v>
      </c>
      <c r="R94" s="4" t="s">
        <v>875</v>
      </c>
      <c r="S94" s="4" t="s">
        <v>876</v>
      </c>
      <c r="T94" s="4" t="s">
        <v>49</v>
      </c>
      <c r="U94" s="4">
        <v>1</v>
      </c>
      <c r="V94" s="4">
        <v>4</v>
      </c>
      <c r="W94" s="4">
        <v>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39.75" thickBot="1">
      <c r="A95" s="4">
        <v>94</v>
      </c>
      <c r="B95" s="4" t="s">
        <v>877</v>
      </c>
      <c r="C95" s="4" t="s">
        <v>878</v>
      </c>
      <c r="D95" s="4">
        <v>4.7</v>
      </c>
      <c r="E95" s="4">
        <v>68</v>
      </c>
      <c r="F95" s="4" t="s">
        <v>35</v>
      </c>
      <c r="G95" s="4">
        <v>1996</v>
      </c>
      <c r="H95" s="4" t="s">
        <v>26</v>
      </c>
      <c r="I95" s="4" t="s">
        <v>879</v>
      </c>
      <c r="J95" s="4" t="s">
        <v>28</v>
      </c>
      <c r="K95" s="4" t="s">
        <v>64</v>
      </c>
      <c r="L95" s="4" t="s">
        <v>496</v>
      </c>
      <c r="M95" s="4" t="s">
        <v>880</v>
      </c>
      <c r="N95" s="4" t="s">
        <v>881</v>
      </c>
      <c r="O95" s="4" t="s">
        <v>882</v>
      </c>
      <c r="P95" s="4" t="s">
        <v>883</v>
      </c>
      <c r="Q95" s="4" t="s">
        <v>35</v>
      </c>
      <c r="R95" s="4" t="s">
        <v>884</v>
      </c>
      <c r="S95" s="4" t="s">
        <v>885</v>
      </c>
      <c r="T95" s="4" t="s">
        <v>38</v>
      </c>
      <c r="U95" s="4">
        <v>21</v>
      </c>
      <c r="V95" s="4">
        <v>4</v>
      </c>
      <c r="W95" s="4">
        <v>67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52.5" thickBot="1">
      <c r="A96" s="4">
        <v>95</v>
      </c>
      <c r="B96" s="4" t="s">
        <v>886</v>
      </c>
      <c r="C96" s="4" t="s">
        <v>887</v>
      </c>
      <c r="D96" s="4">
        <v>4</v>
      </c>
      <c r="E96" s="4">
        <v>5</v>
      </c>
      <c r="F96" s="4" t="s">
        <v>35</v>
      </c>
      <c r="G96" s="4">
        <v>1984</v>
      </c>
      <c r="H96" s="4" t="s">
        <v>72</v>
      </c>
      <c r="I96" s="4" t="s">
        <v>888</v>
      </c>
      <c r="J96" s="4" t="s">
        <v>28</v>
      </c>
      <c r="K96" s="4" t="s">
        <v>122</v>
      </c>
      <c r="L96" s="4" t="s">
        <v>400</v>
      </c>
      <c r="M96" s="4" t="s">
        <v>889</v>
      </c>
      <c r="N96" s="4" t="s">
        <v>890</v>
      </c>
      <c r="O96" s="4" t="s">
        <v>891</v>
      </c>
      <c r="P96" s="4" t="s">
        <v>892</v>
      </c>
      <c r="Q96" s="4" t="s">
        <v>35</v>
      </c>
      <c r="R96" s="4" t="s">
        <v>893</v>
      </c>
      <c r="S96" s="4" t="s">
        <v>894</v>
      </c>
      <c r="T96" s="4" t="s">
        <v>433</v>
      </c>
      <c r="U96" s="4">
        <v>3</v>
      </c>
      <c r="V96" s="4">
        <v>57</v>
      </c>
      <c r="W96" s="4">
        <v>60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52.5" thickBot="1">
      <c r="A97" s="4">
        <v>96</v>
      </c>
      <c r="B97" s="4" t="s">
        <v>895</v>
      </c>
      <c r="C97" s="4" t="s">
        <v>896</v>
      </c>
      <c r="D97" s="4">
        <v>4.5</v>
      </c>
      <c r="E97" s="4">
        <v>13</v>
      </c>
      <c r="F97" s="4" t="s">
        <v>35</v>
      </c>
      <c r="G97" s="4">
        <v>1990</v>
      </c>
      <c r="H97" s="4" t="s">
        <v>475</v>
      </c>
      <c r="I97" s="4" t="s">
        <v>897</v>
      </c>
      <c r="J97" s="4" t="s">
        <v>170</v>
      </c>
      <c r="K97" s="4" t="s">
        <v>898</v>
      </c>
      <c r="L97" s="4" t="s">
        <v>899</v>
      </c>
      <c r="M97" s="4" t="s">
        <v>900</v>
      </c>
      <c r="N97" s="4" t="s">
        <v>901</v>
      </c>
      <c r="O97" s="4" t="s">
        <v>902</v>
      </c>
      <c r="P97" s="4" t="s">
        <v>903</v>
      </c>
      <c r="Q97" s="4" t="s">
        <v>35</v>
      </c>
      <c r="R97" s="4" t="s">
        <v>904</v>
      </c>
      <c r="S97" s="4" t="s">
        <v>905</v>
      </c>
      <c r="T97" s="4" t="s">
        <v>212</v>
      </c>
      <c r="U97" s="4">
        <v>7</v>
      </c>
      <c r="V97" s="4">
        <v>23</v>
      </c>
      <c r="W97" s="4">
        <v>30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65.25" thickBot="1">
      <c r="A98" s="4">
        <v>97</v>
      </c>
      <c r="B98" s="4" t="s">
        <v>906</v>
      </c>
      <c r="C98" s="4" t="s">
        <v>907</v>
      </c>
      <c r="D98" s="3"/>
      <c r="E98" s="3"/>
      <c r="F98" s="4" t="s">
        <v>25</v>
      </c>
      <c r="G98" s="4">
        <v>2013</v>
      </c>
      <c r="H98" s="4" t="s">
        <v>82</v>
      </c>
      <c r="I98" s="4" t="s">
        <v>908</v>
      </c>
      <c r="J98" s="4" t="s">
        <v>28</v>
      </c>
      <c r="K98" s="4" t="s">
        <v>64</v>
      </c>
      <c r="L98" s="4" t="s">
        <v>379</v>
      </c>
      <c r="M98" s="4" t="s">
        <v>909</v>
      </c>
      <c r="N98" s="4" t="s">
        <v>910</v>
      </c>
      <c r="O98" s="3"/>
      <c r="P98" s="3"/>
      <c r="Q98" s="4" t="s">
        <v>25</v>
      </c>
      <c r="R98" s="4" t="s">
        <v>911</v>
      </c>
      <c r="S98" s="4" t="s">
        <v>912</v>
      </c>
      <c r="T98" s="4" t="s">
        <v>111</v>
      </c>
      <c r="U98" s="4">
        <v>2</v>
      </c>
      <c r="V98" s="4">
        <v>0</v>
      </c>
      <c r="W98" s="4">
        <v>2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52.5" thickBot="1">
      <c r="A99" s="4">
        <v>98</v>
      </c>
      <c r="B99" s="4" t="s">
        <v>913</v>
      </c>
      <c r="C99" s="4" t="s">
        <v>914</v>
      </c>
      <c r="D99" s="3"/>
      <c r="E99" s="3"/>
      <c r="F99" s="4" t="s">
        <v>25</v>
      </c>
      <c r="G99" s="4">
        <v>2008</v>
      </c>
      <c r="H99" s="4" t="s">
        <v>41</v>
      </c>
      <c r="I99" s="4" t="s">
        <v>915</v>
      </c>
      <c r="J99" s="4" t="s">
        <v>28</v>
      </c>
      <c r="K99" s="4" t="s">
        <v>94</v>
      </c>
      <c r="L99" s="4" t="s">
        <v>420</v>
      </c>
      <c r="M99" s="4" t="s">
        <v>916</v>
      </c>
      <c r="N99" s="4" t="s">
        <v>917</v>
      </c>
      <c r="O99" s="4" t="s">
        <v>918</v>
      </c>
      <c r="P99" s="3"/>
      <c r="Q99" s="4" t="s">
        <v>25</v>
      </c>
      <c r="R99" s="4" t="s">
        <v>919</v>
      </c>
      <c r="S99" s="4" t="s">
        <v>920</v>
      </c>
      <c r="T99" s="4" t="s">
        <v>921</v>
      </c>
      <c r="U99" s="4">
        <v>6</v>
      </c>
      <c r="V99" s="4">
        <v>4</v>
      </c>
      <c r="W99" s="4">
        <v>10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65.25" thickBot="1">
      <c r="A100" s="4">
        <v>99</v>
      </c>
      <c r="B100" s="4" t="s">
        <v>922</v>
      </c>
      <c r="C100" s="4" t="s">
        <v>923</v>
      </c>
      <c r="D100" s="4">
        <v>4.5999999999999996</v>
      </c>
      <c r="E100" s="4">
        <v>17</v>
      </c>
      <c r="F100" s="4" t="s">
        <v>35</v>
      </c>
      <c r="G100" s="4">
        <v>2006</v>
      </c>
      <c r="H100" s="4" t="s">
        <v>41</v>
      </c>
      <c r="I100" s="4" t="s">
        <v>924</v>
      </c>
      <c r="J100" s="4" t="s">
        <v>28</v>
      </c>
      <c r="K100" s="4" t="s">
        <v>94</v>
      </c>
      <c r="L100" s="4" t="s">
        <v>420</v>
      </c>
      <c r="M100" s="4" t="s">
        <v>925</v>
      </c>
      <c r="N100" s="4" t="s">
        <v>926</v>
      </c>
      <c r="O100" s="4" t="s">
        <v>927</v>
      </c>
      <c r="P100" s="3"/>
      <c r="Q100" s="4" t="s">
        <v>25</v>
      </c>
      <c r="R100" s="4" t="s">
        <v>928</v>
      </c>
      <c r="S100" s="4" t="s">
        <v>929</v>
      </c>
      <c r="T100" s="4" t="s">
        <v>49</v>
      </c>
      <c r="U100" s="4">
        <v>1</v>
      </c>
      <c r="V100" s="4">
        <v>2</v>
      </c>
      <c r="W100" s="4">
        <v>3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52.5" thickBot="1">
      <c r="A101" s="4">
        <v>100</v>
      </c>
      <c r="B101" s="4" t="s">
        <v>930</v>
      </c>
      <c r="C101" s="4" t="s">
        <v>931</v>
      </c>
      <c r="D101" s="4">
        <v>4.5</v>
      </c>
      <c r="E101" s="4">
        <v>17</v>
      </c>
      <c r="F101" s="4" t="s">
        <v>35</v>
      </c>
      <c r="G101" s="4">
        <v>1997</v>
      </c>
      <c r="H101" s="4" t="s">
        <v>26</v>
      </c>
      <c r="I101" s="4" t="s">
        <v>932</v>
      </c>
      <c r="J101" s="4" t="s">
        <v>28</v>
      </c>
      <c r="K101" s="4" t="s">
        <v>104</v>
      </c>
      <c r="L101" s="4" t="s">
        <v>444</v>
      </c>
      <c r="M101" s="4" t="s">
        <v>933</v>
      </c>
      <c r="N101" s="4" t="s">
        <v>934</v>
      </c>
      <c r="O101" s="4" t="s">
        <v>935</v>
      </c>
      <c r="P101" s="3"/>
      <c r="Q101" s="4" t="s">
        <v>25</v>
      </c>
      <c r="R101" s="4" t="s">
        <v>936</v>
      </c>
      <c r="S101" s="4" t="s">
        <v>937</v>
      </c>
      <c r="T101" s="4" t="s">
        <v>49</v>
      </c>
      <c r="U101" s="4">
        <v>3</v>
      </c>
      <c r="V101" s="4">
        <v>2</v>
      </c>
      <c r="W101" s="4">
        <v>5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65.25" thickBot="1">
      <c r="A102" s="4">
        <v>101</v>
      </c>
      <c r="B102" s="4" t="s">
        <v>938</v>
      </c>
      <c r="C102" s="4" t="s">
        <v>939</v>
      </c>
      <c r="D102" s="4">
        <v>4.8</v>
      </c>
      <c r="E102" s="4">
        <v>11</v>
      </c>
      <c r="F102" s="4" t="s">
        <v>35</v>
      </c>
      <c r="G102" s="4">
        <v>2010</v>
      </c>
      <c r="H102" s="4" t="s">
        <v>82</v>
      </c>
      <c r="I102" s="4" t="s">
        <v>940</v>
      </c>
      <c r="J102" s="4" t="s">
        <v>28</v>
      </c>
      <c r="K102" s="4" t="s">
        <v>64</v>
      </c>
      <c r="L102" s="4" t="s">
        <v>370</v>
      </c>
      <c r="M102" s="4" t="s">
        <v>941</v>
      </c>
      <c r="N102" s="4" t="s">
        <v>942</v>
      </c>
      <c r="O102" s="4" t="s">
        <v>943</v>
      </c>
      <c r="P102" s="4" t="s">
        <v>944</v>
      </c>
      <c r="Q102" s="4" t="s">
        <v>35</v>
      </c>
      <c r="R102" s="4" t="s">
        <v>945</v>
      </c>
      <c r="S102" s="4" t="s">
        <v>946</v>
      </c>
      <c r="T102" s="4" t="s">
        <v>947</v>
      </c>
      <c r="U102" s="4">
        <v>6</v>
      </c>
      <c r="V102" s="4">
        <v>5</v>
      </c>
      <c r="W102" s="4">
        <v>11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90.75" thickBot="1">
      <c r="A103" s="4">
        <v>102</v>
      </c>
      <c r="B103" s="4" t="s">
        <v>948</v>
      </c>
      <c r="C103" s="4" t="s">
        <v>949</v>
      </c>
      <c r="D103" s="4">
        <v>4.9000000000000004</v>
      </c>
      <c r="E103" s="4">
        <v>39</v>
      </c>
      <c r="F103" s="4" t="s">
        <v>35</v>
      </c>
      <c r="G103" s="4">
        <v>2012</v>
      </c>
      <c r="H103" s="4" t="s">
        <v>82</v>
      </c>
      <c r="I103" s="4" t="s">
        <v>950</v>
      </c>
      <c r="J103" s="4" t="s">
        <v>28</v>
      </c>
      <c r="K103" s="4" t="s">
        <v>122</v>
      </c>
      <c r="L103" s="4" t="s">
        <v>400</v>
      </c>
      <c r="M103" s="4" t="s">
        <v>951</v>
      </c>
      <c r="N103" s="4" t="s">
        <v>952</v>
      </c>
      <c r="O103" s="4" t="s">
        <v>953</v>
      </c>
      <c r="P103" s="3"/>
      <c r="Q103" s="4" t="s">
        <v>25</v>
      </c>
      <c r="R103" s="4" t="s">
        <v>954</v>
      </c>
      <c r="S103" s="4" t="s">
        <v>955</v>
      </c>
      <c r="T103" s="4" t="s">
        <v>956</v>
      </c>
      <c r="U103" s="4">
        <v>5</v>
      </c>
      <c r="V103" s="4">
        <v>6</v>
      </c>
      <c r="W103" s="4">
        <v>11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39.75" thickBot="1">
      <c r="A104" s="4">
        <v>103</v>
      </c>
      <c r="B104" s="4" t="s">
        <v>957</v>
      </c>
      <c r="C104" s="4" t="s">
        <v>958</v>
      </c>
      <c r="D104" s="4">
        <v>5</v>
      </c>
      <c r="E104" s="4">
        <v>3</v>
      </c>
      <c r="F104" s="4" t="s">
        <v>35</v>
      </c>
      <c r="G104" s="4">
        <v>1995</v>
      </c>
      <c r="H104" s="4" t="s">
        <v>26</v>
      </c>
      <c r="I104" s="4" t="s">
        <v>959</v>
      </c>
      <c r="J104" s="4" t="s">
        <v>28</v>
      </c>
      <c r="K104" s="4" t="s">
        <v>960</v>
      </c>
      <c r="L104" s="4" t="s">
        <v>360</v>
      </c>
      <c r="M104" s="4" t="s">
        <v>961</v>
      </c>
      <c r="N104" s="4" t="s">
        <v>962</v>
      </c>
      <c r="O104" s="4" t="s">
        <v>963</v>
      </c>
      <c r="P104" s="3"/>
      <c r="Q104" s="4" t="s">
        <v>25</v>
      </c>
      <c r="R104" s="4" t="s">
        <v>964</v>
      </c>
      <c r="S104" s="4" t="s">
        <v>965</v>
      </c>
      <c r="T104" s="4" t="s">
        <v>38</v>
      </c>
      <c r="U104" s="4">
        <v>1</v>
      </c>
      <c r="V104" s="4">
        <v>0</v>
      </c>
      <c r="W104" s="4">
        <v>1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52.5" thickBot="1">
      <c r="A105" s="4">
        <v>104</v>
      </c>
      <c r="B105" s="4" t="s">
        <v>966</v>
      </c>
      <c r="C105" s="4" t="s">
        <v>967</v>
      </c>
      <c r="D105" s="4">
        <v>4.5</v>
      </c>
      <c r="E105" s="4">
        <v>65</v>
      </c>
      <c r="F105" s="4" t="s">
        <v>35</v>
      </c>
      <c r="G105" s="4">
        <v>2015</v>
      </c>
      <c r="H105" s="4" t="s">
        <v>205</v>
      </c>
      <c r="I105" s="4" t="s">
        <v>968</v>
      </c>
      <c r="J105" s="4" t="s">
        <v>28</v>
      </c>
      <c r="K105" s="4" t="s">
        <v>104</v>
      </c>
      <c r="L105" s="4" t="s">
        <v>379</v>
      </c>
      <c r="M105" s="4" t="s">
        <v>969</v>
      </c>
      <c r="N105" s="4" t="s">
        <v>970</v>
      </c>
      <c r="O105" s="4" t="s">
        <v>971</v>
      </c>
      <c r="P105" s="6" t="s">
        <v>972</v>
      </c>
      <c r="Q105" s="4" t="s">
        <v>35</v>
      </c>
      <c r="R105" s="4" t="s">
        <v>973</v>
      </c>
      <c r="S105" s="4" t="s">
        <v>974</v>
      </c>
      <c r="T105" s="4" t="s">
        <v>49</v>
      </c>
      <c r="U105" s="4">
        <v>0</v>
      </c>
      <c r="V105" s="4">
        <v>0</v>
      </c>
      <c r="W105" s="4">
        <v>0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78" thickBot="1">
      <c r="A106" s="4">
        <v>105</v>
      </c>
      <c r="B106" s="4" t="s">
        <v>975</v>
      </c>
      <c r="C106" s="4" t="s">
        <v>976</v>
      </c>
      <c r="D106" s="3"/>
      <c r="E106" s="3"/>
      <c r="F106" s="4" t="s">
        <v>25</v>
      </c>
      <c r="G106" s="4">
        <v>2001</v>
      </c>
      <c r="H106" s="4" t="s">
        <v>151</v>
      </c>
      <c r="I106" s="4" t="s">
        <v>977</v>
      </c>
      <c r="J106" s="4" t="s">
        <v>28</v>
      </c>
      <c r="K106" s="4" t="s">
        <v>122</v>
      </c>
      <c r="L106" s="4" t="s">
        <v>400</v>
      </c>
      <c r="M106" s="4" t="s">
        <v>978</v>
      </c>
      <c r="N106" s="4" t="s">
        <v>979</v>
      </c>
      <c r="O106" s="4" t="s">
        <v>980</v>
      </c>
      <c r="P106" s="3"/>
      <c r="Q106" s="4" t="s">
        <v>25</v>
      </c>
      <c r="R106" s="4" t="s">
        <v>981</v>
      </c>
      <c r="S106" s="4" t="s">
        <v>982</v>
      </c>
      <c r="T106" s="4" t="s">
        <v>983</v>
      </c>
      <c r="U106" s="4">
        <v>4</v>
      </c>
      <c r="V106" s="4">
        <v>6</v>
      </c>
      <c r="W106" s="4">
        <v>10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39.75" thickBot="1">
      <c r="A107" s="4">
        <v>106</v>
      </c>
      <c r="B107" s="4" t="s">
        <v>984</v>
      </c>
      <c r="C107" s="7" t="s">
        <v>985</v>
      </c>
      <c r="D107" s="3"/>
      <c r="E107" s="3"/>
      <c r="F107" s="4" t="s">
        <v>25</v>
      </c>
      <c r="G107" s="4">
        <v>2008</v>
      </c>
      <c r="H107" s="4" t="s">
        <v>41</v>
      </c>
      <c r="I107" s="4" t="s">
        <v>986</v>
      </c>
      <c r="J107" s="4" t="s">
        <v>28</v>
      </c>
      <c r="K107" s="4" t="s">
        <v>987</v>
      </c>
      <c r="L107" s="4" t="s">
        <v>988</v>
      </c>
      <c r="M107" s="4" t="s">
        <v>989</v>
      </c>
      <c r="N107" s="4" t="s">
        <v>990</v>
      </c>
      <c r="O107" s="4" t="s">
        <v>393</v>
      </c>
      <c r="P107" s="3"/>
      <c r="Q107" s="4" t="s">
        <v>25</v>
      </c>
      <c r="R107" s="4" t="s">
        <v>991</v>
      </c>
      <c r="S107" s="4" t="s">
        <v>992</v>
      </c>
      <c r="T107" s="4" t="s">
        <v>472</v>
      </c>
      <c r="U107" s="4">
        <v>2</v>
      </c>
      <c r="V107" s="4">
        <v>3</v>
      </c>
      <c r="W107" s="4">
        <v>5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39.75" thickBot="1">
      <c r="A108" s="4">
        <v>107</v>
      </c>
      <c r="B108" s="4" t="s">
        <v>993</v>
      </c>
      <c r="C108" s="4" t="s">
        <v>994</v>
      </c>
      <c r="D108" s="3"/>
      <c r="E108" s="3"/>
      <c r="F108" s="4" t="s">
        <v>25</v>
      </c>
      <c r="G108" s="4">
        <v>2010</v>
      </c>
      <c r="H108" s="4" t="s">
        <v>82</v>
      </c>
      <c r="I108" s="4" t="s">
        <v>995</v>
      </c>
      <c r="J108" s="4" t="s">
        <v>28</v>
      </c>
      <c r="K108" s="4" t="s">
        <v>226</v>
      </c>
      <c r="L108" s="4" t="s">
        <v>321</v>
      </c>
      <c r="M108" s="4" t="s">
        <v>996</v>
      </c>
      <c r="N108" s="4" t="s">
        <v>997</v>
      </c>
      <c r="O108" s="3"/>
      <c r="P108" s="3"/>
      <c r="Q108" s="4" t="s">
        <v>25</v>
      </c>
      <c r="R108" s="4" t="s">
        <v>998</v>
      </c>
      <c r="S108" s="4" t="s">
        <v>999</v>
      </c>
      <c r="T108" s="4" t="s">
        <v>111</v>
      </c>
      <c r="U108" s="4">
        <v>2</v>
      </c>
      <c r="V108" s="4">
        <v>1</v>
      </c>
      <c r="W108" s="4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52.5" thickBot="1">
      <c r="A109" s="4">
        <v>108</v>
      </c>
      <c r="B109" s="4" t="s">
        <v>993</v>
      </c>
      <c r="C109" s="7" t="s">
        <v>1000</v>
      </c>
      <c r="D109" s="4">
        <v>5</v>
      </c>
      <c r="E109" s="4">
        <v>1</v>
      </c>
      <c r="F109" s="4" t="s">
        <v>35</v>
      </c>
      <c r="G109" s="4">
        <v>1996</v>
      </c>
      <c r="H109" s="4" t="s">
        <v>26</v>
      </c>
      <c r="I109" s="4" t="s">
        <v>1001</v>
      </c>
      <c r="J109" s="4" t="s">
        <v>28</v>
      </c>
      <c r="K109" s="4" t="s">
        <v>64</v>
      </c>
      <c r="L109" s="4" t="s">
        <v>379</v>
      </c>
      <c r="M109" s="4" t="s">
        <v>1002</v>
      </c>
      <c r="N109" s="4" t="s">
        <v>1003</v>
      </c>
      <c r="O109" s="4" t="s">
        <v>1004</v>
      </c>
      <c r="P109" s="3"/>
      <c r="Q109" s="4" t="s">
        <v>25</v>
      </c>
      <c r="R109" s="4" t="s">
        <v>1005</v>
      </c>
      <c r="S109" s="4" t="s">
        <v>1006</v>
      </c>
      <c r="T109" s="4" t="s">
        <v>38</v>
      </c>
      <c r="U109" s="4">
        <v>6</v>
      </c>
      <c r="V109" s="4">
        <v>12</v>
      </c>
      <c r="W109" s="4">
        <v>18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39.75" thickBot="1">
      <c r="A110" s="4">
        <v>109</v>
      </c>
      <c r="B110" s="4" t="s">
        <v>1007</v>
      </c>
      <c r="C110" s="4" t="s">
        <v>1008</v>
      </c>
      <c r="D110" s="4">
        <v>4.3</v>
      </c>
      <c r="E110" s="4">
        <v>36</v>
      </c>
      <c r="F110" s="4" t="s">
        <v>35</v>
      </c>
      <c r="G110" s="4">
        <v>2011</v>
      </c>
      <c r="H110" s="4" t="s">
        <v>82</v>
      </c>
      <c r="I110" s="4" t="s">
        <v>1009</v>
      </c>
      <c r="J110" s="4" t="s">
        <v>28</v>
      </c>
      <c r="K110" s="4" t="s">
        <v>104</v>
      </c>
      <c r="L110" s="4" t="s">
        <v>370</v>
      </c>
      <c r="M110" s="4" t="s">
        <v>1010</v>
      </c>
      <c r="N110" s="4" t="s">
        <v>1011</v>
      </c>
      <c r="O110" s="4" t="s">
        <v>1012</v>
      </c>
      <c r="P110" s="4" t="s">
        <v>1013</v>
      </c>
      <c r="Q110" s="4" t="s">
        <v>35</v>
      </c>
      <c r="R110" s="4" t="s">
        <v>1014</v>
      </c>
      <c r="S110" s="4" t="s">
        <v>1015</v>
      </c>
      <c r="T110" s="4" t="s">
        <v>49</v>
      </c>
      <c r="U110" s="4">
        <v>1</v>
      </c>
      <c r="V110" s="4">
        <v>2</v>
      </c>
      <c r="W110" s="4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27" thickBot="1">
      <c r="A111" s="4">
        <v>110</v>
      </c>
      <c r="B111" s="4" t="s">
        <v>1016</v>
      </c>
      <c r="C111" s="7" t="s">
        <v>1017</v>
      </c>
      <c r="D111" s="4">
        <v>5</v>
      </c>
      <c r="E111" s="4">
        <v>6</v>
      </c>
      <c r="F111" s="4" t="s">
        <v>35</v>
      </c>
      <c r="G111" s="4">
        <v>1996</v>
      </c>
      <c r="H111" s="4" t="s">
        <v>26</v>
      </c>
      <c r="I111" s="4" t="s">
        <v>1018</v>
      </c>
      <c r="J111" s="4" t="s">
        <v>28</v>
      </c>
      <c r="K111" s="4" t="s">
        <v>141</v>
      </c>
      <c r="L111" s="4" t="s">
        <v>1019</v>
      </c>
      <c r="M111" s="4" t="s">
        <v>1020</v>
      </c>
      <c r="N111" s="4" t="s">
        <v>1021</v>
      </c>
      <c r="O111" s="4" t="s">
        <v>1022</v>
      </c>
      <c r="P111" s="3"/>
      <c r="Q111" s="4" t="s">
        <v>25</v>
      </c>
      <c r="R111" s="4" t="s">
        <v>1023</v>
      </c>
      <c r="S111" s="4" t="s">
        <v>1024</v>
      </c>
      <c r="T111" s="4" t="s">
        <v>1025</v>
      </c>
      <c r="U111" s="4">
        <v>1</v>
      </c>
      <c r="V111" s="4">
        <v>2</v>
      </c>
      <c r="W111" s="4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52.5" thickBot="1">
      <c r="A112" s="4">
        <v>111</v>
      </c>
      <c r="B112" s="4" t="s">
        <v>1026</v>
      </c>
      <c r="C112" s="7" t="s">
        <v>1027</v>
      </c>
      <c r="D112" s="4">
        <v>5</v>
      </c>
      <c r="E112" s="4">
        <v>2</v>
      </c>
      <c r="F112" s="4" t="s">
        <v>35</v>
      </c>
      <c r="G112" s="4">
        <v>2008</v>
      </c>
      <c r="H112" s="4" t="s">
        <v>41</v>
      </c>
      <c r="I112" s="4" t="s">
        <v>1028</v>
      </c>
      <c r="J112" s="4" t="s">
        <v>28</v>
      </c>
      <c r="K112" s="4" t="s">
        <v>64</v>
      </c>
      <c r="L112" s="4" t="s">
        <v>370</v>
      </c>
      <c r="M112" s="4" t="s">
        <v>1029</v>
      </c>
      <c r="N112" s="4" t="s">
        <v>1030</v>
      </c>
      <c r="O112" s="4" t="s">
        <v>1031</v>
      </c>
      <c r="P112" s="3"/>
      <c r="Q112" s="4" t="s">
        <v>25</v>
      </c>
      <c r="R112" s="4" t="s">
        <v>1032</v>
      </c>
      <c r="S112" s="4" t="s">
        <v>1033</v>
      </c>
      <c r="T112" s="4" t="s">
        <v>1034</v>
      </c>
      <c r="U112" s="4">
        <v>2</v>
      </c>
      <c r="V112" s="4">
        <v>8</v>
      </c>
      <c r="W112" s="4">
        <v>10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39.75" thickBot="1">
      <c r="A113" s="4">
        <v>112</v>
      </c>
      <c r="B113" s="4" t="s">
        <v>1035</v>
      </c>
      <c r="C113" s="4" t="s">
        <v>1036</v>
      </c>
      <c r="D113" s="4">
        <v>4.5</v>
      </c>
      <c r="E113" s="4">
        <v>4</v>
      </c>
      <c r="F113" s="4" t="s">
        <v>35</v>
      </c>
      <c r="G113" s="4">
        <v>1995</v>
      </c>
      <c r="H113" s="4" t="s">
        <v>26</v>
      </c>
      <c r="I113" s="4" t="s">
        <v>1037</v>
      </c>
      <c r="J113" s="4" t="s">
        <v>28</v>
      </c>
      <c r="K113" s="4" t="s">
        <v>226</v>
      </c>
      <c r="L113" s="4" t="s">
        <v>75</v>
      </c>
      <c r="M113" s="4" t="s">
        <v>1038</v>
      </c>
      <c r="N113" s="4" t="s">
        <v>1039</v>
      </c>
      <c r="O113" s="3"/>
      <c r="P113" s="3"/>
      <c r="Q113" s="4" t="s">
        <v>25</v>
      </c>
      <c r="R113" s="4" t="s">
        <v>1040</v>
      </c>
      <c r="S113" s="4" t="s">
        <v>1041</v>
      </c>
      <c r="T113" s="4" t="s">
        <v>49</v>
      </c>
      <c r="U113" s="4">
        <v>2</v>
      </c>
      <c r="V113" s="4">
        <v>3</v>
      </c>
      <c r="W113" s="4">
        <v>5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39.75" thickBot="1">
      <c r="A114" s="4">
        <v>113</v>
      </c>
      <c r="B114" s="4" t="s">
        <v>1042</v>
      </c>
      <c r="C114" s="4" t="s">
        <v>1043</v>
      </c>
      <c r="D114" s="4">
        <v>4.7</v>
      </c>
      <c r="E114" s="4">
        <v>6</v>
      </c>
      <c r="F114" s="4" t="s">
        <v>35</v>
      </c>
      <c r="G114" s="4">
        <v>2003</v>
      </c>
      <c r="H114" s="4" t="s">
        <v>151</v>
      </c>
      <c r="I114" s="4" t="s">
        <v>1044</v>
      </c>
      <c r="J114" s="4" t="s">
        <v>28</v>
      </c>
      <c r="K114" s="4" t="s">
        <v>74</v>
      </c>
      <c r="L114" s="4" t="s">
        <v>420</v>
      </c>
      <c r="M114" s="4" t="s">
        <v>1045</v>
      </c>
      <c r="N114" s="4" t="s">
        <v>1046</v>
      </c>
      <c r="O114" s="4" t="s">
        <v>1047</v>
      </c>
      <c r="P114" s="3"/>
      <c r="Q114" s="4" t="s">
        <v>25</v>
      </c>
      <c r="R114" s="4" t="s">
        <v>1048</v>
      </c>
      <c r="S114" s="4" t="s">
        <v>1049</v>
      </c>
      <c r="T114" s="4" t="s">
        <v>222</v>
      </c>
      <c r="U114" s="4">
        <v>2</v>
      </c>
      <c r="V114" s="4">
        <v>3</v>
      </c>
      <c r="W114" s="4">
        <v>5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52.5" thickBot="1">
      <c r="A115" s="4">
        <v>114</v>
      </c>
      <c r="B115" s="4" t="s">
        <v>1050</v>
      </c>
      <c r="C115" s="4" t="s">
        <v>1051</v>
      </c>
      <c r="D115" s="4">
        <v>3</v>
      </c>
      <c r="E115" s="4">
        <v>5</v>
      </c>
      <c r="F115" s="4" t="s">
        <v>35</v>
      </c>
      <c r="G115" s="4">
        <v>2011</v>
      </c>
      <c r="H115" s="4" t="s">
        <v>82</v>
      </c>
      <c r="I115" s="4" t="s">
        <v>1052</v>
      </c>
      <c r="J115" s="4" t="s">
        <v>28</v>
      </c>
      <c r="K115" s="4" t="s">
        <v>94</v>
      </c>
      <c r="L115" s="4" t="s">
        <v>466</v>
      </c>
      <c r="M115" s="4" t="s">
        <v>1053</v>
      </c>
      <c r="N115" s="4" t="s">
        <v>1054</v>
      </c>
      <c r="O115" s="4" t="s">
        <v>1055</v>
      </c>
      <c r="P115" s="4" t="s">
        <v>1056</v>
      </c>
      <c r="Q115" s="4" t="s">
        <v>35</v>
      </c>
      <c r="R115" s="4" t="s">
        <v>1057</v>
      </c>
      <c r="S115" s="4" t="s">
        <v>1058</v>
      </c>
      <c r="T115" s="4" t="s">
        <v>38</v>
      </c>
      <c r="U115" s="4">
        <v>4</v>
      </c>
      <c r="V115" s="4">
        <v>6</v>
      </c>
      <c r="W115" s="4">
        <v>10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39.75" thickBot="1">
      <c r="A116" s="4">
        <v>115</v>
      </c>
      <c r="B116" s="4" t="s">
        <v>1059</v>
      </c>
      <c r="C116" s="4" t="s">
        <v>1060</v>
      </c>
      <c r="D116" s="3"/>
      <c r="E116" s="3"/>
      <c r="F116" s="4" t="s">
        <v>25</v>
      </c>
      <c r="G116" s="4">
        <v>2013</v>
      </c>
      <c r="H116" s="4" t="s">
        <v>82</v>
      </c>
      <c r="I116" s="4" t="s">
        <v>1061</v>
      </c>
      <c r="J116" s="4" t="s">
        <v>28</v>
      </c>
      <c r="K116" s="4" t="s">
        <v>104</v>
      </c>
      <c r="L116" s="4" t="s">
        <v>444</v>
      </c>
      <c r="M116" s="4" t="s">
        <v>1062</v>
      </c>
      <c r="N116" s="4" t="s">
        <v>1063</v>
      </c>
      <c r="O116" s="4" t="s">
        <v>1064</v>
      </c>
      <c r="P116" s="3"/>
      <c r="Q116" s="4" t="s">
        <v>25</v>
      </c>
      <c r="R116" s="4" t="s">
        <v>1065</v>
      </c>
      <c r="S116" s="4" t="s">
        <v>1066</v>
      </c>
      <c r="T116" s="4" t="s">
        <v>148</v>
      </c>
      <c r="U116" s="4">
        <v>1</v>
      </c>
      <c r="V116" s="4">
        <v>5</v>
      </c>
      <c r="W116" s="4">
        <v>6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52.5" thickBot="1">
      <c r="A117" s="4">
        <v>116</v>
      </c>
      <c r="B117" s="4" t="s">
        <v>1067</v>
      </c>
      <c r="C117" s="4" t="s">
        <v>1068</v>
      </c>
      <c r="D117" s="4">
        <v>4.3</v>
      </c>
      <c r="E117" s="4">
        <v>33</v>
      </c>
      <c r="F117" s="4" t="s">
        <v>35</v>
      </c>
      <c r="G117" s="4">
        <v>2004</v>
      </c>
      <c r="H117" s="4" t="s">
        <v>151</v>
      </c>
      <c r="I117" s="4" t="s">
        <v>1069</v>
      </c>
      <c r="J117" s="4" t="s">
        <v>170</v>
      </c>
      <c r="K117" s="4" t="s">
        <v>171</v>
      </c>
      <c r="L117" s="4" t="s">
        <v>172</v>
      </c>
      <c r="M117" s="4" t="s">
        <v>1070</v>
      </c>
      <c r="N117" s="4" t="s">
        <v>1071</v>
      </c>
      <c r="O117" s="4" t="s">
        <v>1072</v>
      </c>
      <c r="P117" s="4" t="s">
        <v>1073</v>
      </c>
      <c r="Q117" s="4" t="s">
        <v>35</v>
      </c>
      <c r="R117" s="4" t="s">
        <v>1074</v>
      </c>
      <c r="S117" s="4" t="s">
        <v>1075</v>
      </c>
      <c r="T117" s="4" t="s">
        <v>272</v>
      </c>
      <c r="U117" s="4">
        <v>3</v>
      </c>
      <c r="V117" s="4">
        <v>9</v>
      </c>
      <c r="W117" s="4">
        <v>12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65.25" thickBot="1">
      <c r="A118" s="4">
        <v>117</v>
      </c>
      <c r="B118" s="4" t="s">
        <v>1076</v>
      </c>
      <c r="C118" s="4" t="s">
        <v>1077</v>
      </c>
      <c r="D118" s="3"/>
      <c r="E118" s="3"/>
      <c r="F118" s="4" t="s">
        <v>25</v>
      </c>
      <c r="G118" s="4">
        <v>2011</v>
      </c>
      <c r="H118" s="4" t="s">
        <v>82</v>
      </c>
      <c r="I118" s="4" t="s">
        <v>1078</v>
      </c>
      <c r="J118" s="4" t="s">
        <v>28</v>
      </c>
      <c r="K118" s="4" t="s">
        <v>43</v>
      </c>
      <c r="L118" s="4" t="s">
        <v>613</v>
      </c>
      <c r="M118" s="4" t="s">
        <v>1079</v>
      </c>
      <c r="N118" s="4" t="s">
        <v>1080</v>
      </c>
      <c r="O118" s="4" t="s">
        <v>1081</v>
      </c>
      <c r="P118" s="3"/>
      <c r="Q118" s="4" t="s">
        <v>25</v>
      </c>
      <c r="R118" s="4" t="s">
        <v>1082</v>
      </c>
      <c r="S118" s="4" t="s">
        <v>1083</v>
      </c>
      <c r="T118" s="4" t="s">
        <v>222</v>
      </c>
      <c r="U118" s="4">
        <v>4</v>
      </c>
      <c r="V118" s="4">
        <v>6</v>
      </c>
      <c r="W118" s="4">
        <v>10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52.5" thickBot="1">
      <c r="A119" s="4">
        <v>118</v>
      </c>
      <c r="B119" s="4" t="s">
        <v>1084</v>
      </c>
      <c r="C119" s="4" t="s">
        <v>1085</v>
      </c>
      <c r="D119" s="4">
        <v>4.7</v>
      </c>
      <c r="E119" s="4">
        <v>21</v>
      </c>
      <c r="F119" s="4" t="s">
        <v>35</v>
      </c>
      <c r="G119" s="4">
        <v>1999</v>
      </c>
      <c r="H119" s="4" t="s">
        <v>26</v>
      </c>
      <c r="I119" s="4" t="s">
        <v>1086</v>
      </c>
      <c r="J119" s="4" t="s">
        <v>28</v>
      </c>
      <c r="K119" s="4" t="s">
        <v>104</v>
      </c>
      <c r="L119" s="4" t="s">
        <v>444</v>
      </c>
      <c r="M119" s="4" t="s">
        <v>1087</v>
      </c>
      <c r="N119" s="4" t="s">
        <v>1088</v>
      </c>
      <c r="O119" s="4" t="s">
        <v>1089</v>
      </c>
      <c r="P119" s="3"/>
      <c r="Q119" s="4" t="s">
        <v>25</v>
      </c>
      <c r="R119" s="4" t="s">
        <v>1090</v>
      </c>
      <c r="S119" s="4" t="s">
        <v>1091</v>
      </c>
      <c r="T119" s="4" t="s">
        <v>511</v>
      </c>
      <c r="U119" s="4">
        <v>12</v>
      </c>
      <c r="V119" s="4">
        <v>14</v>
      </c>
      <c r="W119" s="4">
        <v>26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52.5" thickBot="1">
      <c r="A120" s="4">
        <v>119</v>
      </c>
      <c r="B120" s="4" t="s">
        <v>1092</v>
      </c>
      <c r="C120" s="4" t="s">
        <v>1093</v>
      </c>
      <c r="D120" s="3"/>
      <c r="E120" s="3"/>
      <c r="F120" s="4" t="s">
        <v>25</v>
      </c>
      <c r="G120" s="4">
        <v>2009</v>
      </c>
      <c r="H120" s="4" t="s">
        <v>41</v>
      </c>
      <c r="I120" s="4" t="s">
        <v>1094</v>
      </c>
      <c r="J120" s="4" t="s">
        <v>28</v>
      </c>
      <c r="K120" s="4" t="s">
        <v>141</v>
      </c>
      <c r="L120" s="4" t="s">
        <v>132</v>
      </c>
      <c r="M120" s="4" t="s">
        <v>1095</v>
      </c>
      <c r="N120" s="4" t="s">
        <v>1096</v>
      </c>
      <c r="O120" s="4">
        <v>8801730303421</v>
      </c>
      <c r="P120" s="3"/>
      <c r="Q120" s="4" t="s">
        <v>25</v>
      </c>
      <c r="R120" s="4" t="s">
        <v>1097</v>
      </c>
      <c r="S120" s="4" t="s">
        <v>1098</v>
      </c>
      <c r="T120" s="4" t="s">
        <v>1099</v>
      </c>
      <c r="U120" s="4">
        <v>2</v>
      </c>
      <c r="V120" s="4">
        <v>1</v>
      </c>
      <c r="W120" s="4">
        <v>3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78" thickBot="1">
      <c r="A121" s="4">
        <v>120</v>
      </c>
      <c r="B121" s="4" t="s">
        <v>1100</v>
      </c>
      <c r="C121" s="4" t="s">
        <v>1101</v>
      </c>
      <c r="D121" s="4">
        <v>4.5</v>
      </c>
      <c r="E121" s="4">
        <v>17</v>
      </c>
      <c r="F121" s="4" t="s">
        <v>35</v>
      </c>
      <c r="G121" s="4">
        <v>1995</v>
      </c>
      <c r="H121" s="4" t="s">
        <v>26</v>
      </c>
      <c r="I121" s="4" t="s">
        <v>1102</v>
      </c>
      <c r="J121" s="4" t="s">
        <v>28</v>
      </c>
      <c r="K121" s="4" t="s">
        <v>64</v>
      </c>
      <c r="L121" s="4" t="s">
        <v>370</v>
      </c>
      <c r="M121" s="4" t="s">
        <v>1103</v>
      </c>
      <c r="N121" s="4" t="s">
        <v>1104</v>
      </c>
      <c r="O121" s="4" t="s">
        <v>1105</v>
      </c>
      <c r="P121" s="4" t="s">
        <v>1106</v>
      </c>
      <c r="Q121" s="4" t="s">
        <v>35</v>
      </c>
      <c r="R121" s="4" t="s">
        <v>1107</v>
      </c>
      <c r="S121" s="4" t="s">
        <v>1108</v>
      </c>
      <c r="T121" s="4" t="s">
        <v>49</v>
      </c>
      <c r="U121" s="4">
        <v>9</v>
      </c>
      <c r="V121" s="4">
        <v>5</v>
      </c>
      <c r="W121" s="4">
        <v>14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65.25" thickBot="1">
      <c r="A122" s="4">
        <v>121</v>
      </c>
      <c r="B122" s="4" t="s">
        <v>1109</v>
      </c>
      <c r="C122" s="4" t="s">
        <v>1110</v>
      </c>
      <c r="D122" s="4">
        <v>4.9000000000000004</v>
      </c>
      <c r="E122" s="4">
        <v>270</v>
      </c>
      <c r="F122" s="4" t="s">
        <v>35</v>
      </c>
      <c r="G122" s="4">
        <v>2011</v>
      </c>
      <c r="H122" s="4" t="s">
        <v>82</v>
      </c>
      <c r="I122" s="4" t="s">
        <v>1111</v>
      </c>
      <c r="J122" s="4" t="s">
        <v>28</v>
      </c>
      <c r="K122" s="4" t="s">
        <v>122</v>
      </c>
      <c r="L122" s="4" t="s">
        <v>1112</v>
      </c>
      <c r="M122" s="4" t="s">
        <v>1113</v>
      </c>
      <c r="N122" s="4" t="s">
        <v>1114</v>
      </c>
      <c r="O122" s="4" t="s">
        <v>1115</v>
      </c>
      <c r="P122" s="6" t="s">
        <v>1116</v>
      </c>
      <c r="Q122" s="4" t="s">
        <v>35</v>
      </c>
      <c r="R122" s="4" t="s">
        <v>1117</v>
      </c>
      <c r="S122" s="4" t="s">
        <v>1118</v>
      </c>
      <c r="T122" s="4" t="s">
        <v>128</v>
      </c>
      <c r="U122" s="4">
        <v>2</v>
      </c>
      <c r="V122" s="4">
        <v>3</v>
      </c>
      <c r="W122" s="4">
        <v>5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39.75" thickBot="1">
      <c r="A123" s="4">
        <v>122</v>
      </c>
      <c r="B123" s="4" t="s">
        <v>1119</v>
      </c>
      <c r="C123" s="4" t="s">
        <v>1120</v>
      </c>
      <c r="D123" s="4">
        <v>4.8</v>
      </c>
      <c r="E123" s="4">
        <v>5</v>
      </c>
      <c r="F123" s="4" t="s">
        <v>35</v>
      </c>
      <c r="G123" s="4">
        <v>2006</v>
      </c>
      <c r="H123" s="4" t="s">
        <v>41</v>
      </c>
      <c r="I123" s="4" t="s">
        <v>1121</v>
      </c>
      <c r="J123" s="4" t="s">
        <v>28</v>
      </c>
      <c r="K123" s="4" t="s">
        <v>122</v>
      </c>
      <c r="L123" s="4" t="s">
        <v>75</v>
      </c>
      <c r="M123" s="4" t="s">
        <v>1122</v>
      </c>
      <c r="N123" s="4" t="s">
        <v>1123</v>
      </c>
      <c r="O123" s="4">
        <v>8801713039777</v>
      </c>
      <c r="P123" s="4" t="s">
        <v>1124</v>
      </c>
      <c r="Q123" s="4" t="s">
        <v>35</v>
      </c>
      <c r="R123" s="4" t="s">
        <v>1125</v>
      </c>
      <c r="S123" s="4" t="s">
        <v>1126</v>
      </c>
      <c r="T123" s="4" t="s">
        <v>128</v>
      </c>
      <c r="U123" s="4">
        <v>5</v>
      </c>
      <c r="V123" s="4">
        <v>2</v>
      </c>
      <c r="W123" s="4">
        <v>7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65.25" thickBot="1">
      <c r="A124" s="4">
        <v>123</v>
      </c>
      <c r="B124" s="4" t="s">
        <v>1127</v>
      </c>
      <c r="C124" s="4" t="s">
        <v>1128</v>
      </c>
      <c r="D124" s="4">
        <v>5</v>
      </c>
      <c r="E124" s="4">
        <v>2</v>
      </c>
      <c r="F124" s="4" t="s">
        <v>35</v>
      </c>
      <c r="G124" s="4">
        <v>2017</v>
      </c>
      <c r="H124" s="4" t="s">
        <v>205</v>
      </c>
      <c r="I124" s="4" t="s">
        <v>1129</v>
      </c>
      <c r="J124" s="4" t="s">
        <v>28</v>
      </c>
      <c r="K124" s="4" t="s">
        <v>43</v>
      </c>
      <c r="L124" s="4" t="s">
        <v>613</v>
      </c>
      <c r="M124" s="4" t="s">
        <v>1130</v>
      </c>
      <c r="N124" s="4" t="s">
        <v>1131</v>
      </c>
      <c r="O124" s="4">
        <v>8801534355957</v>
      </c>
      <c r="P124" s="4" t="s">
        <v>1132</v>
      </c>
      <c r="Q124" s="4" t="s">
        <v>35</v>
      </c>
      <c r="R124" s="4" t="s">
        <v>1133</v>
      </c>
      <c r="S124" s="4" t="s">
        <v>1134</v>
      </c>
      <c r="T124" s="4" t="s">
        <v>49</v>
      </c>
      <c r="U124" s="4">
        <v>2</v>
      </c>
      <c r="V124" s="4">
        <v>1</v>
      </c>
      <c r="W124" s="4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52.5" thickBot="1">
      <c r="A125" s="4">
        <v>124</v>
      </c>
      <c r="B125" s="4" t="s">
        <v>1135</v>
      </c>
      <c r="C125" s="4" t="s">
        <v>1136</v>
      </c>
      <c r="D125" s="4">
        <v>4.5</v>
      </c>
      <c r="E125" s="4">
        <v>66</v>
      </c>
      <c r="F125" s="4" t="s">
        <v>35</v>
      </c>
      <c r="G125" s="4">
        <v>2016</v>
      </c>
      <c r="H125" s="4" t="s">
        <v>205</v>
      </c>
      <c r="I125" s="4" t="s">
        <v>1137</v>
      </c>
      <c r="J125" s="4" t="s">
        <v>28</v>
      </c>
      <c r="K125" s="4" t="s">
        <v>226</v>
      </c>
      <c r="L125" s="4" t="s">
        <v>420</v>
      </c>
      <c r="M125" s="4" t="s">
        <v>1138</v>
      </c>
      <c r="N125" s="4" t="s">
        <v>1139</v>
      </c>
      <c r="O125" s="4">
        <v>8801711335635</v>
      </c>
      <c r="P125" s="4" t="s">
        <v>1140</v>
      </c>
      <c r="Q125" s="4" t="s">
        <v>35</v>
      </c>
      <c r="R125" s="4" t="s">
        <v>1141</v>
      </c>
      <c r="S125" s="4" t="s">
        <v>1142</v>
      </c>
      <c r="T125" s="4" t="s">
        <v>38</v>
      </c>
      <c r="U125" s="4">
        <v>4</v>
      </c>
      <c r="V125" s="4">
        <v>7</v>
      </c>
      <c r="W125" s="4">
        <v>11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65.25" thickBot="1">
      <c r="A126" s="4">
        <v>125</v>
      </c>
      <c r="B126" s="4" t="s">
        <v>1143</v>
      </c>
      <c r="C126" s="4" t="s">
        <v>1144</v>
      </c>
      <c r="D126" s="4">
        <v>4.4000000000000004</v>
      </c>
      <c r="E126" s="4">
        <v>58</v>
      </c>
      <c r="F126" s="4" t="s">
        <v>35</v>
      </c>
      <c r="G126" s="4">
        <v>2001</v>
      </c>
      <c r="H126" s="4" t="s">
        <v>151</v>
      </c>
      <c r="I126" s="4" t="s">
        <v>1145</v>
      </c>
      <c r="J126" s="4" t="s">
        <v>28</v>
      </c>
      <c r="K126" s="4" t="s">
        <v>104</v>
      </c>
      <c r="L126" s="4" t="s">
        <v>444</v>
      </c>
      <c r="M126" s="4" t="s">
        <v>1146</v>
      </c>
      <c r="N126" s="4" t="s">
        <v>1147</v>
      </c>
      <c r="O126" s="4" t="s">
        <v>1148</v>
      </c>
      <c r="P126" s="4" t="s">
        <v>1149</v>
      </c>
      <c r="Q126" s="4" t="s">
        <v>35</v>
      </c>
      <c r="R126" s="4" t="s">
        <v>1150</v>
      </c>
      <c r="S126" s="4" t="s">
        <v>1151</v>
      </c>
      <c r="T126" s="4" t="s">
        <v>212</v>
      </c>
      <c r="U126" s="4">
        <v>4</v>
      </c>
      <c r="V126" s="4">
        <v>9</v>
      </c>
      <c r="W126" s="4">
        <v>13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52.5" thickBot="1">
      <c r="A127" s="4">
        <v>126</v>
      </c>
      <c r="B127" s="4" t="s">
        <v>1152</v>
      </c>
      <c r="C127" s="4" t="s">
        <v>1153</v>
      </c>
      <c r="D127" s="4">
        <v>4.4000000000000004</v>
      </c>
      <c r="E127" s="4">
        <v>9</v>
      </c>
      <c r="F127" s="4" t="s">
        <v>35</v>
      </c>
      <c r="G127" s="4">
        <v>2008</v>
      </c>
      <c r="H127" s="4" t="s">
        <v>41</v>
      </c>
      <c r="I127" s="4" t="s">
        <v>1154</v>
      </c>
      <c r="J127" s="4" t="s">
        <v>1155</v>
      </c>
      <c r="K127" s="4" t="s">
        <v>171</v>
      </c>
      <c r="L127" s="4" t="s">
        <v>1156</v>
      </c>
      <c r="M127" s="4" t="s">
        <v>1157</v>
      </c>
      <c r="N127" s="4" t="s">
        <v>1158</v>
      </c>
      <c r="O127" s="4" t="s">
        <v>1159</v>
      </c>
      <c r="P127" s="3"/>
      <c r="Q127" s="4" t="s">
        <v>25</v>
      </c>
      <c r="R127" s="4" t="s">
        <v>1160</v>
      </c>
      <c r="S127" s="4" t="s">
        <v>1161</v>
      </c>
      <c r="T127" s="4" t="s">
        <v>1162</v>
      </c>
      <c r="U127" s="4">
        <v>3</v>
      </c>
      <c r="V127" s="4">
        <v>4</v>
      </c>
      <c r="W127" s="4">
        <v>7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39.75" thickBot="1">
      <c r="A128" s="4">
        <v>127</v>
      </c>
      <c r="B128" s="4" t="s">
        <v>1163</v>
      </c>
      <c r="C128" s="4" t="s">
        <v>1164</v>
      </c>
      <c r="D128" s="4">
        <v>4.3</v>
      </c>
      <c r="E128" s="4">
        <v>3</v>
      </c>
      <c r="F128" s="4" t="s">
        <v>35</v>
      </c>
      <c r="G128" s="4">
        <v>2014</v>
      </c>
      <c r="H128" s="4" t="s">
        <v>82</v>
      </c>
      <c r="I128" s="4" t="s">
        <v>1165</v>
      </c>
      <c r="J128" s="4" t="s">
        <v>28</v>
      </c>
      <c r="K128" s="4" t="s">
        <v>122</v>
      </c>
      <c r="L128" s="4" t="s">
        <v>400</v>
      </c>
      <c r="M128" s="4" t="s">
        <v>1166</v>
      </c>
      <c r="N128" s="4" t="s">
        <v>1167</v>
      </c>
      <c r="O128" s="4" t="s">
        <v>1168</v>
      </c>
      <c r="P128" s="6" t="s">
        <v>1169</v>
      </c>
      <c r="Q128" s="4" t="s">
        <v>35</v>
      </c>
      <c r="R128" s="4" t="s">
        <v>1170</v>
      </c>
      <c r="S128" s="4" t="s">
        <v>1171</v>
      </c>
      <c r="T128" s="3"/>
      <c r="U128" s="4">
        <v>0</v>
      </c>
      <c r="V128" s="4">
        <v>0</v>
      </c>
      <c r="W128" s="4">
        <v>0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39.75" thickBot="1">
      <c r="A129" s="4">
        <v>128</v>
      </c>
      <c r="B129" s="4" t="s">
        <v>1172</v>
      </c>
      <c r="C129" s="4" t="s">
        <v>1173</v>
      </c>
      <c r="D129" s="4">
        <v>4.9000000000000004</v>
      </c>
      <c r="E129" s="4">
        <v>18</v>
      </c>
      <c r="F129" s="4" t="s">
        <v>35</v>
      </c>
      <c r="G129" s="4">
        <v>2001</v>
      </c>
      <c r="H129" s="4" t="s">
        <v>151</v>
      </c>
      <c r="I129" s="4" t="s">
        <v>1174</v>
      </c>
      <c r="J129" s="4" t="s">
        <v>28</v>
      </c>
      <c r="K129" s="4" t="s">
        <v>122</v>
      </c>
      <c r="L129" s="4" t="s">
        <v>737</v>
      </c>
      <c r="M129" s="4" t="s">
        <v>1175</v>
      </c>
      <c r="N129" s="4" t="s">
        <v>1176</v>
      </c>
      <c r="O129" s="4" t="s">
        <v>1177</v>
      </c>
      <c r="P129" s="3"/>
      <c r="Q129" s="4" t="s">
        <v>25</v>
      </c>
      <c r="R129" s="4" t="s">
        <v>1178</v>
      </c>
      <c r="S129" s="4" t="s">
        <v>1179</v>
      </c>
      <c r="T129" s="4" t="s">
        <v>472</v>
      </c>
      <c r="U129" s="4">
        <v>1</v>
      </c>
      <c r="V129" s="4">
        <v>4</v>
      </c>
      <c r="W129" s="4">
        <v>5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39.75" thickBot="1">
      <c r="A130" s="4">
        <v>129</v>
      </c>
      <c r="B130" s="4" t="s">
        <v>1180</v>
      </c>
      <c r="C130" s="4" t="s">
        <v>1181</v>
      </c>
      <c r="D130" s="3"/>
      <c r="E130" s="3"/>
      <c r="F130" s="4" t="s">
        <v>25</v>
      </c>
      <c r="G130" s="4">
        <v>1993</v>
      </c>
      <c r="H130" s="4" t="s">
        <v>475</v>
      </c>
      <c r="I130" s="4" t="s">
        <v>1182</v>
      </c>
      <c r="J130" s="4" t="s">
        <v>28</v>
      </c>
      <c r="K130" s="4" t="s">
        <v>141</v>
      </c>
      <c r="L130" s="4" t="s">
        <v>466</v>
      </c>
      <c r="M130" s="4" t="s">
        <v>1183</v>
      </c>
      <c r="N130" s="4" t="s">
        <v>1184</v>
      </c>
      <c r="O130" s="4" t="s">
        <v>1185</v>
      </c>
      <c r="P130" s="3"/>
      <c r="Q130" s="4" t="s">
        <v>25</v>
      </c>
      <c r="R130" s="4" t="s">
        <v>1186</v>
      </c>
      <c r="S130" s="4" t="s">
        <v>1187</v>
      </c>
      <c r="T130" s="4" t="s">
        <v>472</v>
      </c>
      <c r="U130" s="4">
        <v>2</v>
      </c>
      <c r="V130" s="4">
        <v>5</v>
      </c>
      <c r="W130" s="4">
        <v>7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65.25" thickBot="1">
      <c r="A131" s="4">
        <v>130</v>
      </c>
      <c r="B131" s="4" t="s">
        <v>1188</v>
      </c>
      <c r="C131" s="4" t="s">
        <v>1189</v>
      </c>
      <c r="D131" s="4">
        <v>4.5</v>
      </c>
      <c r="E131" s="4">
        <v>23</v>
      </c>
      <c r="F131" s="4" t="s">
        <v>35</v>
      </c>
      <c r="G131" s="4">
        <v>1993</v>
      </c>
      <c r="H131" s="4" t="s">
        <v>475</v>
      </c>
      <c r="I131" s="4" t="s">
        <v>1190</v>
      </c>
      <c r="J131" s="4" t="s">
        <v>28</v>
      </c>
      <c r="K131" s="4" t="s">
        <v>226</v>
      </c>
      <c r="L131" s="4" t="s">
        <v>456</v>
      </c>
      <c r="M131" s="4" t="s">
        <v>1191</v>
      </c>
      <c r="N131" s="4" t="s">
        <v>1192</v>
      </c>
      <c r="O131" s="4" t="s">
        <v>1193</v>
      </c>
      <c r="P131" s="4" t="s">
        <v>1194</v>
      </c>
      <c r="Q131" s="4" t="s">
        <v>35</v>
      </c>
      <c r="R131" s="4" t="s">
        <v>1195</v>
      </c>
      <c r="S131" s="4" t="s">
        <v>1196</v>
      </c>
      <c r="T131" s="4" t="s">
        <v>956</v>
      </c>
      <c r="U131" s="4">
        <v>14</v>
      </c>
      <c r="V131" s="4">
        <v>12</v>
      </c>
      <c r="W131" s="4">
        <v>26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52.5" thickBot="1">
      <c r="A132" s="4">
        <v>131</v>
      </c>
      <c r="B132" s="4" t="s">
        <v>1197</v>
      </c>
      <c r="C132" s="4" t="s">
        <v>1198</v>
      </c>
      <c r="D132" s="4">
        <v>4.5999999999999996</v>
      </c>
      <c r="E132" s="4">
        <v>22</v>
      </c>
      <c r="F132" s="4" t="s">
        <v>35</v>
      </c>
      <c r="G132" s="4">
        <v>2013</v>
      </c>
      <c r="H132" s="4" t="s">
        <v>82</v>
      </c>
      <c r="I132" s="4" t="s">
        <v>1199</v>
      </c>
      <c r="J132" s="4" t="s">
        <v>28</v>
      </c>
      <c r="K132" s="4" t="s">
        <v>104</v>
      </c>
      <c r="L132" s="4" t="s">
        <v>444</v>
      </c>
      <c r="M132" s="4" t="s">
        <v>1200</v>
      </c>
      <c r="N132" s="4" t="s">
        <v>1201</v>
      </c>
      <c r="O132" s="4" t="s">
        <v>1202</v>
      </c>
      <c r="P132" s="4" t="s">
        <v>1203</v>
      </c>
      <c r="Q132" s="4" t="s">
        <v>35</v>
      </c>
      <c r="R132" s="4" t="s">
        <v>1204</v>
      </c>
      <c r="S132" s="4" t="s">
        <v>1205</v>
      </c>
      <c r="T132" s="4" t="s">
        <v>38</v>
      </c>
      <c r="U132" s="4">
        <v>5</v>
      </c>
      <c r="V132" s="4">
        <v>0</v>
      </c>
      <c r="W132" s="4">
        <v>5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52.5" thickBot="1">
      <c r="A133" s="4">
        <v>132</v>
      </c>
      <c r="B133" s="4" t="s">
        <v>1206</v>
      </c>
      <c r="C133" s="4" t="s">
        <v>1207</v>
      </c>
      <c r="D133" s="4">
        <v>4.8</v>
      </c>
      <c r="E133" s="4">
        <v>16</v>
      </c>
      <c r="F133" s="4" t="s">
        <v>35</v>
      </c>
      <c r="G133" s="4">
        <v>2018</v>
      </c>
      <c r="H133" s="4" t="s">
        <v>205</v>
      </c>
      <c r="I133" s="4" t="s">
        <v>1208</v>
      </c>
      <c r="J133" s="4" t="s">
        <v>28</v>
      </c>
      <c r="K133" s="4" t="s">
        <v>94</v>
      </c>
      <c r="L133" s="4" t="s">
        <v>420</v>
      </c>
      <c r="M133" s="4" t="s">
        <v>1209</v>
      </c>
      <c r="N133" s="4" t="s">
        <v>1210</v>
      </c>
      <c r="O133" s="4" t="s">
        <v>1211</v>
      </c>
      <c r="P133" s="6" t="s">
        <v>1212</v>
      </c>
      <c r="Q133" s="4" t="s">
        <v>35</v>
      </c>
      <c r="R133" s="4" t="s">
        <v>1213</v>
      </c>
      <c r="S133" s="4" t="s">
        <v>1214</v>
      </c>
      <c r="T133" s="4" t="s">
        <v>1215</v>
      </c>
      <c r="U133" s="4">
        <v>5</v>
      </c>
      <c r="V133" s="4">
        <v>2</v>
      </c>
      <c r="W133" s="4">
        <v>7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65.25" thickBot="1">
      <c r="A134" s="4">
        <v>133</v>
      </c>
      <c r="B134" s="4" t="s">
        <v>1216</v>
      </c>
      <c r="C134" s="4" t="s">
        <v>1217</v>
      </c>
      <c r="D134" s="4">
        <v>4.4000000000000004</v>
      </c>
      <c r="E134" s="4">
        <v>12</v>
      </c>
      <c r="F134" s="4" t="s">
        <v>35</v>
      </c>
      <c r="G134" s="4">
        <v>2003</v>
      </c>
      <c r="H134" s="4" t="s">
        <v>151</v>
      </c>
      <c r="I134" s="4" t="s">
        <v>1218</v>
      </c>
      <c r="J134" s="4" t="s">
        <v>28</v>
      </c>
      <c r="K134" s="4" t="s">
        <v>64</v>
      </c>
      <c r="L134" s="4" t="s">
        <v>379</v>
      </c>
      <c r="M134" s="4" t="s">
        <v>1219</v>
      </c>
      <c r="N134" s="4" t="s">
        <v>1220</v>
      </c>
      <c r="O134" s="4" t="s">
        <v>1221</v>
      </c>
      <c r="P134" s="3"/>
      <c r="Q134" s="4" t="s">
        <v>25</v>
      </c>
      <c r="R134" s="4" t="s">
        <v>1222</v>
      </c>
      <c r="S134" s="4" t="s">
        <v>1223</v>
      </c>
      <c r="T134" s="4" t="s">
        <v>49</v>
      </c>
      <c r="U134" s="4">
        <v>3</v>
      </c>
      <c r="V134" s="4">
        <v>9</v>
      </c>
      <c r="W134" s="4">
        <v>12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52.5" thickBot="1">
      <c r="A135" s="4">
        <v>134</v>
      </c>
      <c r="B135" s="4" t="s">
        <v>1224</v>
      </c>
      <c r="C135" s="4" t="s">
        <v>1225</v>
      </c>
      <c r="D135" s="4">
        <v>4.7</v>
      </c>
      <c r="E135" s="4">
        <v>27</v>
      </c>
      <c r="F135" s="4" t="s">
        <v>35</v>
      </c>
      <c r="G135" s="4">
        <v>1996</v>
      </c>
      <c r="H135" s="4" t="s">
        <v>26</v>
      </c>
      <c r="I135" s="4" t="s">
        <v>1226</v>
      </c>
      <c r="J135" s="4" t="s">
        <v>28</v>
      </c>
      <c r="K135" s="4" t="s">
        <v>226</v>
      </c>
      <c r="L135" s="4" t="s">
        <v>456</v>
      </c>
      <c r="M135" s="4" t="s">
        <v>1227</v>
      </c>
      <c r="N135" s="4" t="s">
        <v>1228</v>
      </c>
      <c r="O135" s="4" t="s">
        <v>1229</v>
      </c>
      <c r="P135" s="3"/>
      <c r="Q135" s="4" t="s">
        <v>25</v>
      </c>
      <c r="R135" s="4" t="s">
        <v>1230</v>
      </c>
      <c r="S135" s="4" t="s">
        <v>1231</v>
      </c>
      <c r="T135" s="4" t="s">
        <v>49</v>
      </c>
      <c r="U135" s="4">
        <v>6</v>
      </c>
      <c r="V135" s="4">
        <v>4</v>
      </c>
      <c r="W135" s="4">
        <v>10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65.25" thickBot="1">
      <c r="A136" s="4">
        <v>135</v>
      </c>
      <c r="B136" s="4" t="s">
        <v>1232</v>
      </c>
      <c r="C136" s="4" t="s">
        <v>1233</v>
      </c>
      <c r="D136" s="4">
        <v>4</v>
      </c>
      <c r="E136" s="4">
        <v>6</v>
      </c>
      <c r="F136" s="4" t="s">
        <v>35</v>
      </c>
      <c r="G136" s="4">
        <v>2005</v>
      </c>
      <c r="H136" s="4" t="s">
        <v>41</v>
      </c>
      <c r="I136" s="4" t="s">
        <v>1234</v>
      </c>
      <c r="J136" s="4" t="s">
        <v>28</v>
      </c>
      <c r="K136" s="4" t="s">
        <v>43</v>
      </c>
      <c r="L136" s="4" t="s">
        <v>613</v>
      </c>
      <c r="M136" s="4" t="s">
        <v>1235</v>
      </c>
      <c r="N136" s="4" t="s">
        <v>1236</v>
      </c>
      <c r="O136" s="4" t="s">
        <v>1237</v>
      </c>
      <c r="P136" s="3"/>
      <c r="Q136" s="4" t="s">
        <v>25</v>
      </c>
      <c r="R136" s="4" t="s">
        <v>1238</v>
      </c>
      <c r="S136" s="4" t="s">
        <v>1239</v>
      </c>
      <c r="T136" s="4" t="s">
        <v>1240</v>
      </c>
      <c r="U136" s="4">
        <v>3</v>
      </c>
      <c r="V136" s="4">
        <v>2</v>
      </c>
      <c r="W136" s="4">
        <v>5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52.5" thickBot="1">
      <c r="A137" s="4">
        <v>136</v>
      </c>
      <c r="B137" s="4" t="s">
        <v>1241</v>
      </c>
      <c r="C137" s="4" t="s">
        <v>1242</v>
      </c>
      <c r="D137" s="4">
        <v>4.5999999999999996</v>
      </c>
      <c r="E137" s="4">
        <v>13</v>
      </c>
      <c r="F137" s="4" t="s">
        <v>35</v>
      </c>
      <c r="G137" s="4">
        <v>2002</v>
      </c>
      <c r="H137" s="4" t="s">
        <v>151</v>
      </c>
      <c r="I137" s="4" t="s">
        <v>1243</v>
      </c>
      <c r="J137" s="4" t="s">
        <v>28</v>
      </c>
      <c r="K137" s="4" t="s">
        <v>94</v>
      </c>
      <c r="L137" s="4" t="s">
        <v>420</v>
      </c>
      <c r="M137" s="4" t="s">
        <v>1244</v>
      </c>
      <c r="N137" s="4" t="s">
        <v>1245</v>
      </c>
      <c r="O137" s="4" t="s">
        <v>1246</v>
      </c>
      <c r="P137" s="3"/>
      <c r="Q137" s="4" t="s">
        <v>25</v>
      </c>
      <c r="R137" s="4" t="s">
        <v>1247</v>
      </c>
      <c r="S137" s="4" t="s">
        <v>1248</v>
      </c>
      <c r="T137" s="4" t="s">
        <v>1162</v>
      </c>
      <c r="U137" s="4">
        <v>3</v>
      </c>
      <c r="V137" s="4">
        <v>6</v>
      </c>
      <c r="W137" s="4">
        <v>9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78" thickBot="1">
      <c r="A138" s="4">
        <v>137</v>
      </c>
      <c r="B138" s="4" t="s">
        <v>1249</v>
      </c>
      <c r="C138" s="4" t="s">
        <v>1250</v>
      </c>
      <c r="D138" s="4">
        <v>4.7</v>
      </c>
      <c r="E138" s="4">
        <v>127</v>
      </c>
      <c r="F138" s="4" t="s">
        <v>35</v>
      </c>
      <c r="G138" s="4">
        <v>1998</v>
      </c>
      <c r="H138" s="4" t="s">
        <v>26</v>
      </c>
      <c r="I138" s="4" t="s">
        <v>1251</v>
      </c>
      <c r="J138" s="4" t="s">
        <v>28</v>
      </c>
      <c r="K138" s="4" t="s">
        <v>64</v>
      </c>
      <c r="L138" s="4" t="s">
        <v>370</v>
      </c>
      <c r="M138" s="4" t="s">
        <v>1252</v>
      </c>
      <c r="N138" s="4" t="s">
        <v>1253</v>
      </c>
      <c r="O138" s="4" t="s">
        <v>1254</v>
      </c>
      <c r="P138" s="3"/>
      <c r="Q138" s="4" t="s">
        <v>25</v>
      </c>
      <c r="R138" s="4" t="s">
        <v>1255</v>
      </c>
      <c r="S138" s="4" t="s">
        <v>1256</v>
      </c>
      <c r="T138" s="4" t="s">
        <v>433</v>
      </c>
      <c r="U138" s="4">
        <v>15</v>
      </c>
      <c r="V138" s="4">
        <v>4</v>
      </c>
      <c r="W138" s="4">
        <v>19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52.5" thickBot="1">
      <c r="A139" s="4">
        <v>138</v>
      </c>
      <c r="B139" s="4" t="s">
        <v>1257</v>
      </c>
      <c r="C139" s="4" t="s">
        <v>1258</v>
      </c>
      <c r="D139" s="4">
        <v>4.5999999999999996</v>
      </c>
      <c r="E139" s="4">
        <v>267</v>
      </c>
      <c r="F139" s="4" t="s">
        <v>35</v>
      </c>
      <c r="G139" s="4">
        <v>2008</v>
      </c>
      <c r="H139" s="4" t="s">
        <v>41</v>
      </c>
      <c r="I139" s="4" t="s">
        <v>1259</v>
      </c>
      <c r="J139" s="4" t="s">
        <v>28</v>
      </c>
      <c r="K139" s="4" t="s">
        <v>104</v>
      </c>
      <c r="L139" s="4" t="s">
        <v>496</v>
      </c>
      <c r="M139" s="4" t="s">
        <v>1260</v>
      </c>
      <c r="N139" s="4" t="s">
        <v>1261</v>
      </c>
      <c r="O139" s="4" t="s">
        <v>1262</v>
      </c>
      <c r="P139" s="4" t="s">
        <v>1263</v>
      </c>
      <c r="Q139" s="4" t="s">
        <v>35</v>
      </c>
      <c r="R139" s="4" t="s">
        <v>1264</v>
      </c>
      <c r="S139" s="4" t="s">
        <v>1265</v>
      </c>
      <c r="T139" s="4" t="s">
        <v>38</v>
      </c>
      <c r="U139" s="4">
        <v>23</v>
      </c>
      <c r="V139" s="4">
        <v>4</v>
      </c>
      <c r="W139" s="4">
        <v>27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65.25" thickBot="1">
      <c r="A140" s="4">
        <v>139</v>
      </c>
      <c r="B140" s="4" t="s">
        <v>1266</v>
      </c>
      <c r="C140" s="4" t="s">
        <v>1267</v>
      </c>
      <c r="D140" s="4">
        <v>4.8</v>
      </c>
      <c r="E140" s="4">
        <v>9</v>
      </c>
      <c r="F140" s="4" t="s">
        <v>35</v>
      </c>
      <c r="G140" s="4">
        <v>2008</v>
      </c>
      <c r="H140" s="4" t="s">
        <v>41</v>
      </c>
      <c r="I140" s="4" t="s">
        <v>1268</v>
      </c>
      <c r="J140" s="4" t="s">
        <v>28</v>
      </c>
      <c r="K140" s="4" t="s">
        <v>64</v>
      </c>
      <c r="L140" s="4" t="s">
        <v>65</v>
      </c>
      <c r="M140" s="4" t="s">
        <v>1269</v>
      </c>
      <c r="N140" s="4" t="s">
        <v>1270</v>
      </c>
      <c r="O140" s="4" t="s">
        <v>1271</v>
      </c>
      <c r="P140" s="3"/>
      <c r="Q140" s="4" t="s">
        <v>25</v>
      </c>
      <c r="R140" s="4" t="s">
        <v>1272</v>
      </c>
      <c r="S140" s="4" t="s">
        <v>1273</v>
      </c>
      <c r="T140" s="4" t="s">
        <v>148</v>
      </c>
      <c r="U140" s="4">
        <v>3</v>
      </c>
      <c r="V140" s="4">
        <v>1</v>
      </c>
      <c r="W140" s="4">
        <v>4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65.25" thickBot="1">
      <c r="A141" s="4">
        <v>140</v>
      </c>
      <c r="B141" s="4" t="s">
        <v>1274</v>
      </c>
      <c r="C141" s="4" t="s">
        <v>1275</v>
      </c>
      <c r="D141" s="4">
        <v>4.8</v>
      </c>
      <c r="E141" s="4">
        <v>8</v>
      </c>
      <c r="F141" s="4" t="s">
        <v>35</v>
      </c>
      <c r="G141" s="4">
        <v>1995</v>
      </c>
      <c r="H141" s="4" t="s">
        <v>26</v>
      </c>
      <c r="I141" s="4" t="s">
        <v>1276</v>
      </c>
      <c r="J141" s="4" t="s">
        <v>28</v>
      </c>
      <c r="K141" s="4" t="s">
        <v>226</v>
      </c>
      <c r="L141" s="4" t="s">
        <v>456</v>
      </c>
      <c r="M141" s="4" t="s">
        <v>1277</v>
      </c>
      <c r="N141" s="4" t="s">
        <v>1278</v>
      </c>
      <c r="O141" s="4" t="s">
        <v>1279</v>
      </c>
      <c r="P141" s="3"/>
      <c r="Q141" s="4" t="s">
        <v>25</v>
      </c>
      <c r="R141" s="4" t="s">
        <v>1280</v>
      </c>
      <c r="S141" s="4" t="s">
        <v>1281</v>
      </c>
      <c r="T141" s="4" t="s">
        <v>620</v>
      </c>
      <c r="U141" s="4">
        <v>5</v>
      </c>
      <c r="V141" s="4">
        <v>0</v>
      </c>
      <c r="W141" s="4">
        <v>5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52.5" thickBot="1">
      <c r="A142" s="4">
        <v>141</v>
      </c>
      <c r="B142" s="4" t="s">
        <v>1282</v>
      </c>
      <c r="C142" s="4" t="s">
        <v>1283</v>
      </c>
      <c r="D142" s="4">
        <v>4.4000000000000004</v>
      </c>
      <c r="E142" s="4">
        <v>158</v>
      </c>
      <c r="F142" s="4" t="s">
        <v>35</v>
      </c>
      <c r="G142" s="4">
        <v>1991</v>
      </c>
      <c r="H142" s="4" t="s">
        <v>475</v>
      </c>
      <c r="I142" s="4" t="s">
        <v>1284</v>
      </c>
      <c r="J142" s="4" t="s">
        <v>28</v>
      </c>
      <c r="K142" s="4" t="s">
        <v>141</v>
      </c>
      <c r="L142" s="4" t="s">
        <v>466</v>
      </c>
      <c r="M142" s="4" t="s">
        <v>1285</v>
      </c>
      <c r="N142" s="4" t="s">
        <v>1286</v>
      </c>
      <c r="O142" s="4" t="s">
        <v>1287</v>
      </c>
      <c r="P142" s="6" t="s">
        <v>1288</v>
      </c>
      <c r="Q142" s="4" t="s">
        <v>35</v>
      </c>
      <c r="R142" s="4" t="s">
        <v>1289</v>
      </c>
      <c r="S142" s="4" t="s">
        <v>1290</v>
      </c>
      <c r="T142" s="4" t="s">
        <v>1215</v>
      </c>
      <c r="U142" s="4">
        <v>0</v>
      </c>
      <c r="V142" s="4">
        <v>0</v>
      </c>
      <c r="W142" s="4">
        <v>0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52.5" thickBot="1">
      <c r="A143" s="4">
        <v>142</v>
      </c>
      <c r="B143" s="4" t="s">
        <v>1291</v>
      </c>
      <c r="C143" s="4" t="s">
        <v>1292</v>
      </c>
      <c r="D143" s="4">
        <v>4.7</v>
      </c>
      <c r="E143" s="4">
        <v>50</v>
      </c>
      <c r="F143" s="4" t="s">
        <v>35</v>
      </c>
      <c r="G143" s="3"/>
      <c r="H143" s="3"/>
      <c r="I143" s="4" t="s">
        <v>1293</v>
      </c>
      <c r="J143" s="4" t="s">
        <v>28</v>
      </c>
      <c r="K143" s="4" t="s">
        <v>64</v>
      </c>
      <c r="L143" s="4" t="s">
        <v>379</v>
      </c>
      <c r="M143" s="4" t="s">
        <v>1294</v>
      </c>
      <c r="N143" s="4" t="s">
        <v>1295</v>
      </c>
      <c r="O143" s="4" t="s">
        <v>1296</v>
      </c>
      <c r="P143" s="6" t="s">
        <v>1297</v>
      </c>
      <c r="Q143" s="4" t="s">
        <v>35</v>
      </c>
      <c r="R143" s="4" t="s">
        <v>1298</v>
      </c>
      <c r="S143" s="4" t="s">
        <v>1299</v>
      </c>
      <c r="T143" s="4" t="s">
        <v>49</v>
      </c>
      <c r="U143" s="4">
        <v>0</v>
      </c>
      <c r="V143" s="4">
        <v>0</v>
      </c>
      <c r="W143" s="4">
        <v>0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1:38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spans="1:38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spans="1:38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 spans="1:38" ht="15.75" thickBo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 spans="1:38" ht="15.75" thickBo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 spans="1:38" ht="15.75" thickBo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 spans="1:38" ht="15.75" thickBo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 spans="1:38" ht="15.75" thickBo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</row>
    <row r="1006" spans="1:38" ht="15.75" thickBo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  <row r="1007" spans="1:38" ht="15.75" thickBo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</row>
    <row r="1008" spans="1:38" ht="15.75" thickBo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</row>
    <row r="1009" spans="1:38" ht="15.75" thickBo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</row>
    <row r="1010" spans="1:38" ht="15.75" thickBo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 spans="1:38" ht="15.75" thickBo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</row>
    <row r="1012" spans="1:38" ht="15.75" thickBo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</row>
    <row r="1013" spans="1:38" ht="15.75" thickBo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</row>
    <row r="1014" spans="1:38" ht="15.75" thickBo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</row>
    <row r="1015" spans="1:38" ht="15.75" thickBo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</row>
    <row r="1016" spans="1:38" ht="15.75" thickBo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</row>
    <row r="1017" spans="1:38" ht="15.75" thickBo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</row>
    <row r="1018" spans="1:38" ht="15.75" thickBo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</row>
    <row r="1019" spans="1:38" ht="15.75" thickBo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</row>
    <row r="1020" spans="1:38" ht="15.75" thickBo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</row>
    <row r="1021" spans="1:38" ht="15.75" thickBo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</row>
    <row r="1022" spans="1:38" ht="15.75" thickBo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</row>
    <row r="1023" spans="1:38" ht="15.75" thickBo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</row>
    <row r="1024" spans="1:38" ht="15.75" thickBo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</row>
    <row r="1025" spans="1:38" ht="15.75" thickBo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</row>
    <row r="1026" spans="1:38" ht="15.75" thickBo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</row>
    <row r="1027" spans="1:38" ht="15.75" thickBo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</row>
    <row r="1028" spans="1:38" ht="15.75" thickBo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</row>
    <row r="1029" spans="1:38" ht="15.75" thickBo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</row>
    <row r="1030" spans="1:38" ht="15.75" thickBo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</row>
    <row r="1031" spans="1:38" ht="15.75" thickBo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</row>
    <row r="1032" spans="1:38" ht="15.75" thickBo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</row>
    <row r="1033" spans="1:38" ht="15.75" thickBo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</row>
    <row r="1034" spans="1:38" ht="15.75" thickBo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</row>
    <row r="1035" spans="1:38" ht="15.75" thickBo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</row>
    <row r="1036" spans="1:38" ht="15.75" thickBo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</row>
    <row r="1037" spans="1:38" ht="15.75" thickBo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</row>
    <row r="1038" spans="1:38" ht="15.75" thickBo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</row>
    <row r="1039" spans="1:38" ht="15.75" thickBo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</row>
    <row r="1040" spans="1:38" ht="15.75" thickBo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</row>
    <row r="1041" spans="1:38" ht="15.75" thickBo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</row>
    <row r="1042" spans="1:38" ht="15.75" thickBo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</row>
    <row r="1043" spans="1:38" ht="15.75" thickBo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</row>
    <row r="1044" spans="1:38" ht="15.75" thickBo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</row>
    <row r="1045" spans="1:38" ht="15.75" thickBo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</row>
    <row r="1046" spans="1:38" ht="15.75" thickBo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</row>
    <row r="1047" spans="1:38" ht="15.75" thickBo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</row>
    <row r="1048" spans="1:38" ht="15.75" thickBo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 spans="1:38" ht="15.75" thickBo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</row>
    <row r="1050" spans="1:38" ht="15.75" thickBo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</row>
    <row r="1051" spans="1:38" ht="15.75" thickBo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</row>
    <row r="1052" spans="1:38" ht="15.75" thickBo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</row>
    <row r="1053" spans="1:38" ht="15.75" thickBo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</row>
    <row r="1054" spans="1:38" ht="15.75" thickBo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</row>
    <row r="1055" spans="1:38" ht="15.75" thickBo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</row>
    <row r="1056" spans="1:38" ht="15.75" thickBo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</row>
    <row r="1057" spans="1:38" ht="15.75" thickBo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</row>
    <row r="1058" spans="1:38" ht="15.75" thickBo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 spans="1:38" ht="15.75" thickBo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</row>
    <row r="1060" spans="1:38" ht="15.75" thickBo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</row>
    <row r="1061" spans="1:38" ht="15.75" thickBo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</row>
    <row r="1062" spans="1:38" ht="15.75" thickBo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</row>
    <row r="1063" spans="1:38" ht="15.75" thickBo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</row>
    <row r="1064" spans="1:38" ht="15.75" thickBo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 spans="1:38" ht="15.75" thickBo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</row>
    <row r="1066" spans="1:38" ht="15.75" thickBo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 spans="1:38" ht="15.75" thickBo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</row>
    <row r="1068" spans="1:38" ht="15.75" thickBo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 spans="1:38" ht="15.75" thickBo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</row>
    <row r="1070" spans="1:38" ht="15.75" thickBo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</row>
    <row r="1071" spans="1:38" ht="15.75" thickBo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</row>
    <row r="1072" spans="1:38" ht="15.75" thickBo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</row>
    <row r="1073" spans="1:38" ht="15.75" thickBo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</row>
    <row r="1074" spans="1:38" ht="15.75" thickBo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</row>
    <row r="1075" spans="1:38" ht="15.75" thickBo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</row>
    <row r="1076" spans="1:38" ht="15.75" thickBo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</row>
    <row r="1077" spans="1:38" ht="15.75" thickBo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</row>
    <row r="1078" spans="1:38" ht="15.75" thickBo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</row>
    <row r="1079" spans="1:38" ht="15.75" thickBo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</row>
    <row r="1080" spans="1:38" ht="15.75" thickBo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</row>
    <row r="1081" spans="1:38" ht="15.75" thickBo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</row>
    <row r="1082" spans="1:38" ht="15.75" thickBo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</row>
    <row r="1083" spans="1:38" ht="15.75" thickBo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</row>
    <row r="1084" spans="1:38" ht="15.75" thickBo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</row>
    <row r="1085" spans="1:38" ht="15.75" thickBo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</row>
    <row r="1086" spans="1:38" ht="15.75" thickBo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</row>
    <row r="1087" spans="1:38" ht="15.75" thickBo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</row>
    <row r="1088" spans="1:38" ht="15.75" thickBo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</row>
    <row r="1089" spans="1:38" ht="15.75" thickBo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</row>
    <row r="1090" spans="1:38" ht="15.75" thickBo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</row>
    <row r="1091" spans="1:38" ht="15.75" thickBo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</row>
    <row r="1092" spans="1:38" ht="15.75" thickBo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</row>
    <row r="1093" spans="1:38" ht="15.75" thickBo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</row>
    <row r="1094" spans="1:38" ht="15.75" thickBo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</row>
    <row r="1095" spans="1:38" ht="15.75" thickBo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</row>
    <row r="1096" spans="1:38" ht="15.75" thickBo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</row>
    <row r="1097" spans="1:38" ht="15.75" thickBo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</row>
    <row r="1098" spans="1:38" ht="15.75" thickBo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</row>
    <row r="1099" spans="1:38" ht="15.75" thickBo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</row>
    <row r="1100" spans="1:38" ht="15.75" thickBo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</row>
    <row r="1101" spans="1:38" ht="15.75" thickBo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</row>
    <row r="1102" spans="1:38" ht="15.75" thickBo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</row>
    <row r="1103" spans="1:38" ht="15.75" thickBo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</row>
    <row r="1104" spans="1:38" ht="15.75" thickBo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</row>
    <row r="1105" spans="1:38" ht="15.75" thickBo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</row>
    <row r="1106" spans="1:38" ht="15.75" thickBo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</row>
    <row r="1107" spans="1:38" ht="15.75" thickBo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</row>
    <row r="1108" spans="1:38" ht="15.75" thickBo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</row>
    <row r="1109" spans="1:38" ht="15.75" thickBo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</row>
    <row r="1110" spans="1:38" ht="15.75" thickBo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</row>
    <row r="1111" spans="1:38" ht="15.75" thickBo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</row>
    <row r="1112" spans="1:38" ht="15.75" thickBo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</row>
    <row r="1113" spans="1:38" ht="15.75" thickBo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</row>
    <row r="1114" spans="1:38" ht="15.75" thickBo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</row>
    <row r="1115" spans="1:38" ht="15.75" thickBo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</row>
    <row r="1116" spans="1:38" ht="15.75" thickBo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</row>
    <row r="1117" spans="1:38" ht="15.75" thickBo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</row>
    <row r="1118" spans="1:38" ht="15.75" thickBo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</row>
    <row r="1119" spans="1:38" ht="15.75" thickBo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</row>
    <row r="1120" spans="1:38" ht="15.75" thickBo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</row>
    <row r="1121" spans="1:38" ht="15.75" thickBo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</row>
    <row r="1122" spans="1:38" ht="15.75" thickBo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</row>
    <row r="1123" spans="1:38" ht="15.75" thickBo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</row>
    <row r="1124" spans="1:38" ht="15.75" thickBot="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</row>
    <row r="1125" spans="1:38" ht="15.75" thickBot="1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</row>
    <row r="1126" spans="1:38" ht="15.75" thickBo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</row>
    <row r="1127" spans="1:38" ht="15.75" thickBo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</row>
    <row r="1128" spans="1:38" ht="15.75" thickBot="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</row>
    <row r="1129" spans="1:38" ht="15.75" thickBo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</row>
    <row r="1130" spans="1:38" ht="15.75" thickBot="1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</row>
    <row r="1131" spans="1:38" ht="15.75" thickBot="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</row>
    <row r="1132" spans="1:38" ht="15.75" thickBot="1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</row>
    <row r="1133" spans="1:38" ht="15.75" thickBo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</row>
    <row r="1134" spans="1:38" ht="15.75" thickBot="1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</row>
    <row r="1135" spans="1:38" ht="15.75" thickBo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</row>
    <row r="1136" spans="1:38" ht="15.75" thickBot="1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</row>
    <row r="1137" spans="1:38" ht="15.75" thickBo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</row>
    <row r="1138" spans="1:38" ht="15.75" thickBot="1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</row>
    <row r="1139" spans="1:38" ht="15.75" thickBot="1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</row>
    <row r="1140" spans="1:38" ht="15.75" thickBot="1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</row>
    <row r="1141" spans="1:38" ht="15.75" thickBot="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</row>
    <row r="1142" spans="1:38" ht="15.75" thickBot="1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</row>
    <row r="1143" spans="1:38" ht="15.75" thickBot="1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</row>
    <row r="1144" spans="1:38" ht="15.75" thickBo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</row>
    <row r="1145" spans="1:38" ht="15.75" thickBot="1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</row>
    <row r="1146" spans="1:38" ht="15.75" thickBot="1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</row>
    <row r="1147" spans="1:38" ht="15.75" thickBot="1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</row>
    <row r="1148" spans="1:38" ht="15.75" thickBot="1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</row>
    <row r="1149" spans="1:38" ht="15.75" thickBot="1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</row>
    <row r="1150" spans="1:38" ht="15.75" thickBot="1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</row>
    <row r="1151" spans="1:38" ht="15.75" thickBot="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</row>
    <row r="1152" spans="1:38" ht="15.75" thickBot="1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</row>
    <row r="1153" spans="1:38" ht="15.75" thickBot="1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</row>
    <row r="1154" spans="1:38" ht="15.75" thickBot="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</row>
    <row r="1155" spans="1:38" ht="15.75" thickBot="1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</row>
    <row r="1156" spans="1:38" ht="15.75" thickBot="1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</row>
    <row r="1157" spans="1:38" ht="15.75" thickBot="1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</row>
    <row r="1158" spans="1:38" ht="15.75" thickBot="1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</row>
    <row r="1159" spans="1:38" ht="15.75" thickBot="1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</row>
    <row r="1160" spans="1:38" ht="15.75" thickBot="1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</row>
    <row r="1161" spans="1:38" ht="15.75" thickBot="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</row>
    <row r="1162" spans="1:38" ht="15.75" thickBot="1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</row>
    <row r="1163" spans="1:38" ht="15.75" thickBot="1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</row>
    <row r="1164" spans="1:38" ht="15.75" thickBot="1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</row>
    <row r="1165" spans="1:38" ht="15.75" thickBot="1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</row>
    <row r="1166" spans="1:38" ht="15.75" thickBot="1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</row>
    <row r="1167" spans="1:38" ht="15.75" thickBot="1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</row>
    <row r="1168" spans="1:38" ht="15.75" thickBot="1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</row>
    <row r="1169" spans="1:38" ht="15.75" thickBot="1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</row>
    <row r="1170" spans="1:38" ht="15.75" thickBot="1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</row>
    <row r="1171" spans="1:38" ht="15.75" thickBo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</row>
    <row r="1172" spans="1:38" ht="15.75" thickBot="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</row>
    <row r="1173" spans="1:38" ht="15.75" thickBot="1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</row>
    <row r="1174" spans="1:38" ht="15.75" thickBo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</row>
    <row r="1175" spans="1:38" ht="15.75" thickBo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</row>
    <row r="1176" spans="1:38" ht="15.75" thickBo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</row>
    <row r="1177" spans="1:38" ht="15.75" thickBot="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</row>
    <row r="1178" spans="1:38" ht="15.75" thickBot="1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</row>
    <row r="1179" spans="1:38" ht="15.75" thickBot="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</row>
    <row r="1180" spans="1:38" ht="15.75" thickBot="1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</row>
    <row r="1181" spans="1:38" ht="15.75" thickBo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</row>
    <row r="1182" spans="1:38" ht="15.75" thickBot="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</row>
    <row r="1183" spans="1:38" ht="15.75" thickBot="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</row>
    <row r="1184" spans="1:38" ht="15.75" thickBot="1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</row>
    <row r="1185" spans="1:38" ht="15.75" thickBot="1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</row>
    <row r="1186" spans="1:38" ht="15.75" thickBot="1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</row>
    <row r="1187" spans="1:38" ht="15.75" thickBo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</row>
    <row r="1188" spans="1:38" ht="15.75" thickBot="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</row>
    <row r="1189" spans="1:38" ht="15.75" thickBot="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</row>
    <row r="1190" spans="1:38" ht="15.75" thickBot="1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</row>
    <row r="1191" spans="1:38" ht="15.75" thickBo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</row>
    <row r="1192" spans="1:38" ht="15.75" thickBot="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</row>
    <row r="1193" spans="1:38" ht="15.75" thickBot="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</row>
    <row r="1194" spans="1:38" ht="15.75" thickBot="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</row>
    <row r="1195" spans="1:38" ht="15.75" thickBot="1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</row>
    <row r="1196" spans="1:38" ht="15.75" thickBot="1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</row>
    <row r="1197" spans="1:38" ht="15.75" thickBo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</row>
    <row r="1198" spans="1:38" ht="15.75" thickBot="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</row>
    <row r="1199" spans="1:38" ht="15.75" thickBot="1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</row>
    <row r="1200" spans="1:38" ht="15.75" thickBot="1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</row>
    <row r="1201" spans="1:38" ht="15.75" thickBo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</row>
    <row r="1202" spans="1:38" ht="15.75" thickBot="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</row>
    <row r="1203" spans="1:38" ht="15.75" thickBot="1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</row>
    <row r="1204" spans="1:38" ht="15.75" thickBot="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</row>
    <row r="1205" spans="1:38" ht="15.75" thickBo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</row>
    <row r="1206" spans="1:38" ht="15.75" thickBo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</row>
    <row r="1207" spans="1:38" ht="15.75" thickBot="1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</row>
    <row r="1208" spans="1:38" ht="15.75" thickBot="1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</row>
    <row r="1209" spans="1:38" ht="15.75" thickBot="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</row>
    <row r="1210" spans="1:38" ht="15.75" thickBot="1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</row>
    <row r="1211" spans="1:38" ht="15.75" thickBot="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</row>
    <row r="1212" spans="1:38" ht="15.75" thickBot="1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</row>
    <row r="1213" spans="1:38" ht="15.75" thickBot="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</row>
    <row r="1214" spans="1:38" ht="15.75" thickBot="1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</row>
    <row r="1215" spans="1:38" ht="15.75" thickBot="1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</row>
    <row r="1216" spans="1:38" ht="15.75" thickBot="1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</row>
    <row r="1217" spans="1:38" ht="15.75" thickBo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</row>
    <row r="1218" spans="1:38" ht="15.75" thickBot="1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</row>
    <row r="1219" spans="1:38" ht="15.75" thickBot="1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</row>
    <row r="1220" spans="1:38" ht="15.75" thickBot="1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</row>
    <row r="1221" spans="1:38" ht="15.75" thickBot="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</row>
    <row r="1222" spans="1:38" ht="15.75" thickBo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</row>
    <row r="1223" spans="1:38" ht="15.75" thickBot="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</row>
    <row r="1224" spans="1:38" ht="15.75" thickBot="1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</row>
    <row r="1225" spans="1:38" ht="15.75" thickBot="1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</row>
    <row r="1226" spans="1:38" ht="15.75" thickBot="1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</row>
    <row r="1227" spans="1:38" ht="15.75" thickBot="1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</row>
    <row r="1228" spans="1:38" ht="15.75" thickBo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</row>
    <row r="1229" spans="1:38" ht="15.75" thickBo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</row>
    <row r="1230" spans="1:38" ht="15.75" thickBot="1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</row>
    <row r="1231" spans="1:38" ht="15.75" thickBot="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</row>
    <row r="1232" spans="1:38" ht="15.75" thickBo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</row>
    <row r="1233" spans="1:38" ht="15.75" thickBot="1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</row>
    <row r="1234" spans="1:38" ht="15.75" thickBo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</row>
    <row r="1235" spans="1:38" ht="15.75" thickBot="1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</row>
    <row r="1236" spans="1:38" ht="15.75" thickBo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</row>
    <row r="1237" spans="1:38" ht="15.75" thickBot="1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</row>
    <row r="1238" spans="1:38" ht="15.75" thickBot="1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</row>
    <row r="1239" spans="1:38" ht="15.75" thickBot="1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</row>
    <row r="1240" spans="1:38" ht="15.75" thickBot="1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</row>
    <row r="1241" spans="1:38" ht="15.75" thickBot="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</row>
    <row r="1242" spans="1:38" ht="15.75" thickBot="1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</row>
    <row r="1243" spans="1:38" ht="15.75" thickBot="1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</row>
    <row r="1244" spans="1:38" ht="15.75" thickBot="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</row>
    <row r="1245" spans="1:38" ht="15.75" thickBot="1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</row>
    <row r="1246" spans="1:38" ht="15.75" thickBot="1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</row>
    <row r="1247" spans="1:38" ht="15.75" thickBot="1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</row>
    <row r="1248" spans="1:38" ht="15.75" thickBot="1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</row>
    <row r="1249" spans="1:38" ht="15.75" thickBot="1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</row>
    <row r="1250" spans="1:38" ht="15.75" thickBot="1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</row>
    <row r="1251" spans="1:38" ht="15.75" thickBot="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</row>
    <row r="1252" spans="1:38" ht="15.75" thickBo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</row>
    <row r="1253" spans="1:38" ht="15.75" thickBot="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</row>
    <row r="1254" spans="1:38" ht="15.75" thickBot="1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</row>
    <row r="1255" spans="1:38" ht="15.75" thickBo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</row>
    <row r="1256" spans="1:38" ht="15.75" thickBot="1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</row>
    <row r="1257" spans="1:38" ht="15.75" thickBot="1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</row>
    <row r="1258" spans="1:38" ht="15.75" thickBot="1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</row>
    <row r="1259" spans="1:38" ht="15.75" thickBot="1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</row>
    <row r="1260" spans="1:38" ht="15.75" thickBot="1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</row>
    <row r="1261" spans="1:38" ht="15.75" thickBot="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</row>
    <row r="1262" spans="1:38" ht="15.75" thickBot="1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</row>
    <row r="1263" spans="1:38" ht="15.75" thickBot="1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</row>
    <row r="1264" spans="1:38" ht="15.75" thickBot="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</row>
    <row r="1265" spans="1:38" ht="15.75" thickBot="1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</row>
    <row r="1266" spans="1:38" ht="15.75" thickBo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</row>
    <row r="1267" spans="1:38" ht="15.75" thickBo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</row>
    <row r="1268" spans="1:38" ht="15.75" thickBot="1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</row>
    <row r="1269" spans="1:38" ht="15.75" thickBot="1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</row>
    <row r="1270" spans="1:38" ht="15.75" thickBot="1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</row>
    <row r="1271" spans="1:38" ht="15.75" thickBot="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</row>
    <row r="1272" spans="1:38" ht="15.75" thickBot="1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</row>
    <row r="1273" spans="1:38" ht="15.75" thickBot="1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</row>
    <row r="1274" spans="1:38" ht="15.75" thickBot="1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</row>
    <row r="1275" spans="1:38" ht="15.75" thickBot="1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</row>
    <row r="1276" spans="1:38" ht="15.75" thickBot="1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</row>
    <row r="1277" spans="1:38" ht="15.75" thickBot="1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</row>
    <row r="1278" spans="1:38" ht="15.75" thickBot="1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</row>
    <row r="1279" spans="1:38" ht="15.75" thickBot="1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</row>
    <row r="1280" spans="1:38" ht="15.75" thickBot="1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</row>
    <row r="1281" spans="1:38" ht="15.75" thickBot="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</row>
    <row r="1282" spans="1:38" ht="15.75" thickBot="1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</row>
    <row r="1283" spans="1:38" ht="15.75" thickBot="1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</row>
    <row r="1284" spans="1:38" ht="15.75" thickBot="1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Chakma</dc:creator>
  <cp:lastModifiedBy>Pranab Chakma</cp:lastModifiedBy>
  <dcterms:created xsi:type="dcterms:W3CDTF">2026-01-08T17:51:12Z</dcterms:created>
  <dcterms:modified xsi:type="dcterms:W3CDTF">2026-01-08T17:57:08Z</dcterms:modified>
</cp:coreProperties>
</file>